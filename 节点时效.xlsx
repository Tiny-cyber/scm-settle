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节点耗时" sheetId="2" r:id="rId2"/>
    <sheet name="Sheet2" sheetId="3" r:id="rId3"/>
    <sheet name="耗时" sheetId="4" r:id="rId4"/>
    <sheet name="节点操作人" sheetId="5" r:id="rId5"/>
    <sheet name="要求耗时" sheetId="6" r:id="rId6"/>
  </sheets>
  <definedNames>
    <definedName name="_xlnm._FilterDatabase" localSheetId="0" hidden="1">'Sheet1'!A1:B16</definedName>
    <definedName name="_xlnm._FilterDatabase" localSheetId="1" hidden="1">'节点耗时'!F1:G16</definedName>
    <definedName name="_xlnm._FilterDatabase" localSheetId="2" hidden="1">Sheet2!$A$1:$M$1</definedName>
    <definedName name="_xlnm._FilterDatabase" localSheetId="3" hidden="1">耗时!$A$1:$M$23</definedName>
    <definedName name="_xlnm._FilterDatabase" localSheetId="5">'要求耗时'!A1:K74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workbookViewId="0" rightToLeft="0"/>
  </sheetViews>
  <sheetData>
    <row r="1">
      <c r="A1" t="str">
        <v>吉聚产前样耗时</v>
      </c>
      <c r="B1" t="str">
        <v>要求时间（天）</v>
      </c>
      <c r="E1" t="str">
        <v>吉聚拍照样耗时</v>
      </c>
      <c r="F1" t="str">
        <v>要求时间（天）</v>
      </c>
      <c r="I1" t="str">
        <v>产前版</v>
      </c>
      <c r="J1" t="str">
        <v>要求时间（天）</v>
      </c>
      <c r="M1" t="str">
        <v>开发版</v>
      </c>
      <c r="N1" t="str">
        <v>要求时间（天）</v>
      </c>
      <c r="P1" t="str">
        <v>拍照版</v>
      </c>
      <c r="Q1" t="str">
        <v>要求时间（天）</v>
      </c>
      <c r="S1" t="str">
        <v>开发样（头版、二版、三版等）</v>
      </c>
      <c r="T1" t="str">
        <v>基准时间</v>
      </c>
    </row>
    <row r="2">
      <c r="A2" t="str">
        <v>确定图稿建立打样单</v>
      </c>
      <c r="B2">
        <v>0.08</v>
      </c>
      <c r="D2" t="str">
        <v>拍照样</v>
      </c>
      <c r="E2" t="str">
        <v>确定图稿建立打样单</v>
      </c>
      <c r="F2">
        <v>0.08</v>
      </c>
      <c r="H2" t="str">
        <v>产前样</v>
      </c>
      <c r="I2" t="str">
        <v>确定图稿建立打样单</v>
      </c>
      <c r="J2">
        <v>0.08</v>
      </c>
      <c r="M2" t="str">
        <v>确定图稿建立打样单</v>
      </c>
      <c r="N2">
        <v>0.08</v>
      </c>
      <c r="P2" t="str">
        <v>确定图稿建立打样单</v>
      </c>
      <c r="Q2">
        <v>0.08</v>
      </c>
      <c r="S2" t="str">
        <v>确定图稿建立打样单</v>
      </c>
      <c r="T2">
        <v>0.08</v>
      </c>
    </row>
    <row r="3">
      <c r="A3" t="str">
        <v>纸样完成</v>
      </c>
      <c r="B3">
        <v>0.08</v>
      </c>
      <c r="D3" t="str">
        <v>拍照样</v>
      </c>
      <c r="E3" t="str">
        <v>纸样完成</v>
      </c>
      <c r="F3">
        <v>0.04</v>
      </c>
      <c r="H3" t="str">
        <v>产前样</v>
      </c>
      <c r="I3" t="str">
        <v>纸样完成</v>
      </c>
      <c r="J3">
        <v>0.08</v>
      </c>
      <c r="M3" t="str">
        <v>纸样完成</v>
      </c>
      <c r="N3">
        <v>0.69</v>
      </c>
      <c r="P3" t="str">
        <v>纸样完成</v>
      </c>
      <c r="Q3">
        <v>0.08</v>
      </c>
      <c r="S3" t="str">
        <v>纸样完成</v>
      </c>
      <c r="T3">
        <v>0.69</v>
      </c>
    </row>
    <row r="4">
      <c r="A4" t="str">
        <v>面料到位 辅料到位</v>
      </c>
      <c r="B4">
        <v>2</v>
      </c>
      <c r="D4" t="str">
        <v>拍照样</v>
      </c>
      <c r="E4" t="str">
        <v>面料到位 辅料到位</v>
      </c>
      <c r="F4">
        <v>0.5</v>
      </c>
      <c r="H4" t="str">
        <v>产前样</v>
      </c>
      <c r="I4" t="str">
        <v>面料到位 辅料到位</v>
      </c>
      <c r="J4">
        <v>2</v>
      </c>
      <c r="M4" t="str">
        <v>面料到位 辅料到位</v>
      </c>
      <c r="N4">
        <v>2</v>
      </c>
      <c r="P4" t="str">
        <v>面料到位 辅料到位</v>
      </c>
      <c r="Q4">
        <v>2</v>
      </c>
      <c r="S4" t="str">
        <v>面料到位 辅料到位</v>
      </c>
      <c r="T4">
        <v>2</v>
      </c>
    </row>
    <row r="5">
      <c r="A5" t="str">
        <v>面料二次工艺完成 辅料二次工艺完成</v>
      </c>
      <c r="B5">
        <v>2</v>
      </c>
      <c r="D5" t="str">
        <v>拍照样</v>
      </c>
      <c r="E5" t="str">
        <v>面料二次工艺完成 辅料二次工艺完成</v>
      </c>
      <c r="F5">
        <v>0.97</v>
      </c>
      <c r="H5" t="str">
        <v>产前样</v>
      </c>
      <c r="I5" t="str">
        <v>面料二次工艺完成 辅料二次工艺完成</v>
      </c>
      <c r="J5">
        <v>2</v>
      </c>
      <c r="M5" t="str">
        <v>面料二次工艺完成 辅料二次工艺完成</v>
      </c>
      <c r="N5">
        <v>2</v>
      </c>
      <c r="P5" t="str">
        <v>面料二次工艺完成 辅料二次工艺完成</v>
      </c>
      <c r="Q5">
        <v>2</v>
      </c>
      <c r="S5" t="str">
        <v>面料二次工艺完成 辅料二次工艺完成</v>
      </c>
      <c r="T5">
        <v>2</v>
      </c>
    </row>
    <row r="6">
      <c r="A6" t="str">
        <v>裁片二次工艺录资料</v>
      </c>
      <c r="B6">
        <v>0.04</v>
      </c>
      <c r="D6" t="str">
        <v>拍照样</v>
      </c>
      <c r="E6" t="str">
        <v>裁片二次工艺录资料</v>
      </c>
      <c r="F6">
        <v>0.04</v>
      </c>
      <c r="H6" t="str">
        <v>产前样</v>
      </c>
      <c r="I6" t="str">
        <v>裁片二次工艺录资料</v>
      </c>
      <c r="J6">
        <v>0.04</v>
      </c>
      <c r="M6" t="str">
        <v>裁片二次工艺录资料</v>
      </c>
      <c r="N6">
        <v>0.04</v>
      </c>
      <c r="P6" t="str">
        <v>裁片二次工艺录资料</v>
      </c>
      <c r="Q6">
        <v>0.04</v>
      </c>
      <c r="S6" t="str">
        <v>裁片二次工艺录资料</v>
      </c>
      <c r="T6">
        <v>0.04</v>
      </c>
    </row>
    <row r="7">
      <c r="A7" t="str">
        <v>交裁剪</v>
      </c>
      <c r="B7">
        <v>0.04</v>
      </c>
      <c r="D7" t="str">
        <v>拍照样</v>
      </c>
      <c r="E7" t="str">
        <v>交裁剪</v>
      </c>
      <c r="F7">
        <v>0.04</v>
      </c>
      <c r="H7" t="str">
        <v>产前样</v>
      </c>
      <c r="I7" t="str">
        <v>交裁剪</v>
      </c>
      <c r="J7">
        <v>0.04</v>
      </c>
      <c r="M7" t="str">
        <v>交裁剪</v>
      </c>
      <c r="N7">
        <v>0.04</v>
      </c>
      <c r="P7" t="str">
        <v>交裁剪</v>
      </c>
      <c r="Q7">
        <v>0.04</v>
      </c>
      <c r="S7" t="str">
        <v>交裁剪</v>
      </c>
      <c r="T7">
        <v>0.04</v>
      </c>
    </row>
    <row r="8">
      <c r="A8" t="str">
        <v>裁剪完成</v>
      </c>
      <c r="B8">
        <v>0.04</v>
      </c>
      <c r="D8" t="str">
        <v>拍照样</v>
      </c>
      <c r="E8" t="str">
        <v>裁剪完成</v>
      </c>
      <c r="F8">
        <v>0.04</v>
      </c>
      <c r="H8" t="str">
        <v>产前样</v>
      </c>
      <c r="I8" t="str">
        <v>裁剪完成</v>
      </c>
      <c r="J8">
        <v>0.04</v>
      </c>
      <c r="M8" t="str">
        <v>裁剪完成</v>
      </c>
      <c r="N8">
        <v>0.04</v>
      </c>
      <c r="P8" t="str">
        <v>裁剪完成</v>
      </c>
      <c r="Q8">
        <v>0.04</v>
      </c>
      <c r="S8" t="str">
        <v>裁剪完成</v>
      </c>
      <c r="T8">
        <v>0.04</v>
      </c>
    </row>
    <row r="9">
      <c r="A9" t="str">
        <v>裁片二次工艺完成</v>
      </c>
      <c r="B9">
        <v>1.5</v>
      </c>
      <c r="D9" t="str">
        <v>拍照样</v>
      </c>
      <c r="E9" t="str">
        <v>裁片二次工艺完成</v>
      </c>
      <c r="F9">
        <v>1</v>
      </c>
      <c r="H9" t="str">
        <v>产前样</v>
      </c>
      <c r="I9" t="str">
        <v>裁片二次工艺完成</v>
      </c>
      <c r="J9">
        <v>1.5</v>
      </c>
      <c r="M9" t="str">
        <v>裁片二次工艺完成</v>
      </c>
      <c r="N9">
        <v>1.5</v>
      </c>
      <c r="P9" t="str">
        <v>裁片二次工艺完成</v>
      </c>
      <c r="Q9">
        <v>1.5</v>
      </c>
      <c r="S9" t="str">
        <v>裁片二次工艺完成</v>
      </c>
      <c r="T9">
        <v>1.5</v>
      </c>
    </row>
    <row r="10">
      <c r="A10" t="str">
        <v>车缝完成</v>
      </c>
      <c r="B10">
        <v>0.25</v>
      </c>
      <c r="D10" t="str">
        <v>拍照样</v>
      </c>
      <c r="E10" t="str">
        <v>车缝完成</v>
      </c>
      <c r="F10">
        <v>0.25</v>
      </c>
      <c r="H10" t="str">
        <v>产前样</v>
      </c>
      <c r="I10" t="str">
        <v>车缝完成</v>
      </c>
      <c r="J10">
        <v>0.25</v>
      </c>
      <c r="M10" t="str">
        <v>车缝完成</v>
      </c>
      <c r="N10">
        <v>0.25</v>
      </c>
      <c r="P10" t="str">
        <v>车缝完成</v>
      </c>
      <c r="Q10">
        <v>0.25</v>
      </c>
      <c r="S10" t="str">
        <v>交车缝</v>
      </c>
      <c r="T10">
        <v>0.25</v>
      </c>
    </row>
    <row r="11">
      <c r="A11" t="str">
        <v>内部审版完成</v>
      </c>
      <c r="B11">
        <v>0.04</v>
      </c>
      <c r="D11" t="str">
        <v>拍照样</v>
      </c>
      <c r="E11" t="str">
        <v>内部审版完成</v>
      </c>
      <c r="F11">
        <v>0.04</v>
      </c>
      <c r="H11" t="str">
        <v>产前样</v>
      </c>
      <c r="I11" t="str">
        <v>内部审版完成</v>
      </c>
      <c r="J11">
        <v>0.04</v>
      </c>
      <c r="M11" t="str">
        <v>审核AB价</v>
      </c>
      <c r="N11">
        <v>0</v>
      </c>
      <c r="P11" t="str">
        <v>内部审版完成</v>
      </c>
      <c r="Q11">
        <v>0.04</v>
      </c>
      <c r="S11" t="str">
        <v>车缝完成</v>
      </c>
      <c r="T11">
        <v>0</v>
      </c>
    </row>
    <row r="12">
      <c r="A12" t="str">
        <v>复核面辅料 IE核价完成</v>
      </c>
      <c r="B12">
        <v>0.04</v>
      </c>
      <c r="H12" t="str">
        <v>产前样</v>
      </c>
      <c r="I12" t="str">
        <v>复核面辅料 IE核价完成</v>
      </c>
      <c r="J12">
        <v>0.04</v>
      </c>
      <c r="M12" t="str">
        <v>内部审版完成</v>
      </c>
      <c r="N12">
        <v>0.08</v>
      </c>
      <c r="S12" t="str">
        <v>审核AB价</v>
      </c>
      <c r="T12">
        <v>0.08</v>
      </c>
    </row>
    <row r="13">
      <c r="A13" t="str">
        <v>复核工艺价格用量 实际核价完成</v>
      </c>
      <c r="B13">
        <v>0.04</v>
      </c>
      <c r="H13" t="str">
        <v>产前样</v>
      </c>
      <c r="I13" t="str">
        <v>复核工艺价格用量实际核价完成</v>
      </c>
      <c r="J13">
        <v>0.04</v>
      </c>
      <c r="M13" t="str">
        <v>抛用量完成</v>
      </c>
      <c r="N13">
        <v>0.08</v>
      </c>
      <c r="S13" t="str">
        <v>内部审版完成</v>
      </c>
      <c r="T13">
        <v>0.08</v>
      </c>
    </row>
    <row r="14">
      <c r="A14" t="str">
        <v>大货下单</v>
      </c>
      <c r="B14">
        <v>0.04</v>
      </c>
      <c r="H14" t="str">
        <v>产前样</v>
      </c>
      <c r="I14" t="str">
        <v>大货下单</v>
      </c>
      <c r="J14">
        <v>0.04</v>
      </c>
      <c r="M14" t="str">
        <v>复核面辅料 IE 核价完成</v>
      </c>
      <c r="N14">
        <v>0.04</v>
      </c>
      <c r="S14" t="str">
        <v>抛用量完成</v>
      </c>
      <c r="T14">
        <v>0.04</v>
      </c>
    </row>
    <row r="15">
      <c r="A15" t="str">
        <v>移交物料卡</v>
      </c>
      <c r="B15">
        <v>0.08</v>
      </c>
      <c r="H15" t="str">
        <v>产前样</v>
      </c>
      <c r="I15" t="str">
        <v>移交交物料卡</v>
      </c>
      <c r="J15">
        <v>0.08</v>
      </c>
      <c r="M15" t="str">
        <v>报价 BOM 完成</v>
      </c>
      <c r="N15">
        <v>0.08</v>
      </c>
      <c r="S15" t="str">
        <v>复核面辅料 IE核价完成</v>
      </c>
      <c r="T15">
        <v>0</v>
      </c>
    </row>
    <row r="16">
      <c r="A16" t="str">
        <v>移交样衣</v>
      </c>
      <c r="B16">
        <v>0.04</v>
      </c>
      <c r="H16" t="str">
        <v>产前样</v>
      </c>
      <c r="I16" t="str">
        <v>移交样衣</v>
      </c>
      <c r="J16">
        <v>0.04</v>
      </c>
      <c r="M16" t="str">
        <v>客户审版完成</v>
      </c>
      <c r="N16">
        <v>1</v>
      </c>
      <c r="S16" t="str">
        <v>报价BOM完成</v>
      </c>
      <c r="T16">
        <v>0.08</v>
      </c>
    </row>
    <row r="17">
      <c r="S17" t="str">
        <v>客户审版完成</v>
      </c>
      <c r="T17">
        <v>1</v>
      </c>
    </row>
  </sheetData>
  <autoFilter ref="A1:B16"/>
  <pageMargins left="0.75" right="0.75" top="1" bottom="1" header="0.5" footer="0.5"/>
  <ignoredErrors>
    <ignoredError numberStoredAsText="1" sqref="A1:T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40"/>
  <sheetViews>
    <sheetView workbookViewId="0" rightToLeft="0"/>
  </sheetViews>
  <sheetData>
    <row r="1">
      <c r="B1" t="str">
        <v>吉聚拍照样耗时</v>
      </c>
      <c r="C1" t="str">
        <v>要求时间（天）</v>
      </c>
      <c r="F1" t="str">
        <v>吉聚产前样耗时</v>
      </c>
      <c r="G1" t="str">
        <v>要求时间（天）</v>
      </c>
      <c r="J1" t="str">
        <v>开发版</v>
      </c>
      <c r="K1" t="str">
        <v>要求时间（天）</v>
      </c>
      <c r="N1" t="str">
        <v>产前版</v>
      </c>
      <c r="O1" t="str">
        <v>要求时间（天）</v>
      </c>
      <c r="R1" t="str">
        <v>拍照版</v>
      </c>
      <c r="S1" t="str">
        <v>要求时间（天）</v>
      </c>
      <c r="V1" t="str">
        <v>开发样（头版、二版、三版等）</v>
      </c>
      <c r="W1" t="str">
        <v>基准时间</v>
      </c>
      <c r="Z1" t="str">
        <v>开发样（头版、二版、三版等）</v>
      </c>
      <c r="AA1" t="str">
        <v>基准时间</v>
      </c>
      <c r="AD1" t="str">
        <v>开发样（头版、二版、三版等）</v>
      </c>
      <c r="AE1" t="str">
        <v>基准时间</v>
      </c>
    </row>
    <row r="2">
      <c r="A2" t="str">
        <v>拍照样</v>
      </c>
      <c r="B2" t="str">
        <v>确定图稿建立打样单</v>
      </c>
      <c r="C2">
        <v>0.08</v>
      </c>
      <c r="E2" t="str">
        <v>产前样</v>
      </c>
      <c r="F2" t="str">
        <v>确定图稿建立打样单</v>
      </c>
      <c r="G2">
        <v>0.08</v>
      </c>
      <c r="I2" t="str">
        <v>开发样</v>
      </c>
      <c r="J2" t="str">
        <v>确定图稿建立打样单</v>
      </c>
      <c r="K2">
        <v>0.08</v>
      </c>
      <c r="M2" t="str">
        <v>产前样</v>
      </c>
      <c r="N2" t="str">
        <v>确定图稿建立打样单</v>
      </c>
      <c r="O2">
        <v>0.08</v>
      </c>
      <c r="Q2" t="str">
        <v>拍照样</v>
      </c>
      <c r="R2" t="str">
        <v>确定图稿建立打样单</v>
      </c>
      <c r="S2">
        <v>0.08</v>
      </c>
      <c r="U2" t="str">
        <v>头版</v>
      </c>
      <c r="V2" t="str">
        <v>确定图稿建立打样单</v>
      </c>
      <c r="W2">
        <v>0.08</v>
      </c>
      <c r="Y2" t="str">
        <v>二版</v>
      </c>
      <c r="Z2" t="str">
        <v>确定图稿建立打样单</v>
      </c>
      <c r="AA2">
        <v>0.08</v>
      </c>
      <c r="AC2" t="str">
        <v>三版</v>
      </c>
      <c r="AD2" t="str">
        <v>确定图稿建立打样单</v>
      </c>
      <c r="AE2">
        <v>0.08</v>
      </c>
    </row>
    <row r="3">
      <c r="A3" t="str">
        <v>拍照样</v>
      </c>
      <c r="B3" t="str">
        <v>纸样完成</v>
      </c>
      <c r="C3">
        <v>0.04</v>
      </c>
      <c r="E3" t="str">
        <v>产前样</v>
      </c>
      <c r="F3" t="str">
        <v>纸样完成</v>
      </c>
      <c r="G3">
        <v>0.08</v>
      </c>
      <c r="I3" t="str">
        <v>开发样</v>
      </c>
      <c r="J3" t="str">
        <v>纸样完成</v>
      </c>
      <c r="K3">
        <v>0.69</v>
      </c>
      <c r="M3" t="str">
        <v>产前样</v>
      </c>
      <c r="N3" t="str">
        <v>纸样完成</v>
      </c>
      <c r="O3">
        <v>0.08</v>
      </c>
      <c r="Q3" t="str">
        <v>拍照样</v>
      </c>
      <c r="R3" t="str">
        <v>纸样完成</v>
      </c>
      <c r="S3">
        <v>0.08</v>
      </c>
      <c r="U3" t="str">
        <v>头版</v>
      </c>
      <c r="V3" t="str">
        <v>纸样完成</v>
      </c>
      <c r="W3">
        <v>0.69</v>
      </c>
      <c r="Y3" t="str">
        <v>二版</v>
      </c>
      <c r="Z3" t="str">
        <v>纸样完成</v>
      </c>
      <c r="AA3">
        <v>0.69</v>
      </c>
      <c r="AC3" t="str">
        <v>三版</v>
      </c>
      <c r="AD3" t="str">
        <v>纸样完成</v>
      </c>
      <c r="AE3">
        <v>0.69</v>
      </c>
    </row>
    <row r="4">
      <c r="A4" t="str">
        <v>拍照样</v>
      </c>
      <c r="B4" t="str">
        <v>面料到位 辅料到位</v>
      </c>
      <c r="C4">
        <v>0.5</v>
      </c>
      <c r="E4" t="str">
        <v>产前样</v>
      </c>
      <c r="F4" t="str">
        <v>面料到位 辅料到位</v>
      </c>
      <c r="G4">
        <v>2</v>
      </c>
      <c r="I4" t="str">
        <v>开发样</v>
      </c>
      <c r="J4" t="str">
        <v>面料到位 辅料到位</v>
      </c>
      <c r="K4">
        <v>2</v>
      </c>
      <c r="M4" t="str">
        <v>产前样</v>
      </c>
      <c r="N4" t="str">
        <v>面料到位 辅料到位</v>
      </c>
      <c r="O4">
        <v>2</v>
      </c>
      <c r="Q4" t="str">
        <v>拍照样</v>
      </c>
      <c r="R4" t="str">
        <v>面料到位 辅料到位</v>
      </c>
      <c r="S4">
        <v>2</v>
      </c>
      <c r="U4" t="str">
        <v>头版</v>
      </c>
      <c r="V4" t="str">
        <v>面料到位 辅料到位</v>
      </c>
      <c r="W4">
        <v>2</v>
      </c>
      <c r="Y4" t="str">
        <v>二版</v>
      </c>
      <c r="Z4" t="str">
        <v>面料到位 辅料到位</v>
      </c>
      <c r="AA4">
        <v>2</v>
      </c>
      <c r="AC4" t="str">
        <v>三版</v>
      </c>
      <c r="AD4" t="str">
        <v>面料到位 辅料到位</v>
      </c>
      <c r="AE4">
        <v>2</v>
      </c>
    </row>
    <row r="5">
      <c r="A5" t="str">
        <v>拍照样</v>
      </c>
      <c r="B5" t="str">
        <v>面料二次工艺完成 辅料二次工艺完成</v>
      </c>
      <c r="C5">
        <v>0.97</v>
      </c>
      <c r="E5" t="str">
        <v>产前样</v>
      </c>
      <c r="F5" t="str">
        <v>面料二次工艺完成 辅料二次工艺完成</v>
      </c>
      <c r="G5">
        <v>2</v>
      </c>
      <c r="I5" t="str">
        <v>开发样</v>
      </c>
      <c r="J5" t="str">
        <v>面料二次工艺完成 辅料二次工艺完成</v>
      </c>
      <c r="K5">
        <v>2</v>
      </c>
      <c r="M5" t="str">
        <v>产前样</v>
      </c>
      <c r="N5" t="str">
        <v>面料二次工艺完成 辅料二次工艺完成</v>
      </c>
      <c r="O5">
        <v>2</v>
      </c>
      <c r="Q5" t="str">
        <v>拍照样</v>
      </c>
      <c r="R5" t="str">
        <v>面料二次工艺完成 辅料二次工艺完成</v>
      </c>
      <c r="S5">
        <v>2</v>
      </c>
      <c r="U5" t="str">
        <v>头版</v>
      </c>
      <c r="V5" t="str">
        <v>面料二次工艺完成 辅料二次工艺完成</v>
      </c>
      <c r="W5">
        <v>2</v>
      </c>
      <c r="Y5" t="str">
        <v>二版</v>
      </c>
      <c r="Z5" t="str">
        <v>面料二次工艺完成 辅料二次工艺完成</v>
      </c>
      <c r="AA5">
        <v>2</v>
      </c>
      <c r="AC5" t="str">
        <v>三版</v>
      </c>
      <c r="AD5" t="str">
        <v>面料二次工艺完成 辅料二次工艺完成</v>
      </c>
      <c r="AE5">
        <v>2</v>
      </c>
    </row>
    <row r="6">
      <c r="A6" t="str">
        <v>拍照样</v>
      </c>
      <c r="B6" t="str">
        <v>裁片二次工艺录资料</v>
      </c>
      <c r="C6">
        <v>0.04</v>
      </c>
      <c r="E6" t="str">
        <v>产前样</v>
      </c>
      <c r="F6" t="str">
        <v>裁片二次工艺录资料</v>
      </c>
      <c r="G6">
        <v>0.04</v>
      </c>
      <c r="I6" t="str">
        <v>开发样</v>
      </c>
      <c r="J6" t="str">
        <v>裁片二次工艺录资料</v>
      </c>
      <c r="K6">
        <v>0.04</v>
      </c>
      <c r="M6" t="str">
        <v>产前样</v>
      </c>
      <c r="N6" t="str">
        <v>裁片二次工艺录资料</v>
      </c>
      <c r="O6">
        <v>0.04</v>
      </c>
      <c r="Q6" t="str">
        <v>拍照样</v>
      </c>
      <c r="R6" t="str">
        <v>裁片二次工艺录资料</v>
      </c>
      <c r="S6">
        <v>0.04</v>
      </c>
      <c r="U6" t="str">
        <v>头版</v>
      </c>
      <c r="V6" t="str">
        <v>裁片二次工艺录资料</v>
      </c>
      <c r="W6">
        <v>0.04</v>
      </c>
      <c r="Y6" t="str">
        <v>二版</v>
      </c>
      <c r="Z6" t="str">
        <v>裁片二次工艺录资料</v>
      </c>
      <c r="AA6">
        <v>0.04</v>
      </c>
      <c r="AC6" t="str">
        <v>三版</v>
      </c>
      <c r="AD6" t="str">
        <v>裁片二次工艺录资料</v>
      </c>
      <c r="AE6">
        <v>0.04</v>
      </c>
    </row>
    <row r="7">
      <c r="A7" t="str">
        <v>拍照样</v>
      </c>
      <c r="B7" t="str">
        <v>交裁剪</v>
      </c>
      <c r="C7">
        <v>0.04</v>
      </c>
      <c r="E7" t="str">
        <v>产前样</v>
      </c>
      <c r="F7" t="str">
        <v>交裁剪</v>
      </c>
      <c r="G7">
        <v>0.04</v>
      </c>
      <c r="I7" t="str">
        <v>开发样</v>
      </c>
      <c r="J7" t="str">
        <v>交裁剪</v>
      </c>
      <c r="K7">
        <v>0.04</v>
      </c>
      <c r="M7" t="str">
        <v>产前样</v>
      </c>
      <c r="N7" t="str">
        <v>交裁剪</v>
      </c>
      <c r="O7">
        <v>0.04</v>
      </c>
      <c r="Q7" t="str">
        <v>拍照样</v>
      </c>
      <c r="R7" t="str">
        <v>交裁剪</v>
      </c>
      <c r="S7">
        <v>0.04</v>
      </c>
      <c r="U7" t="str">
        <v>头版</v>
      </c>
      <c r="V7" t="str">
        <v>交裁剪</v>
      </c>
      <c r="W7">
        <v>0.04</v>
      </c>
      <c r="Y7" t="str">
        <v>二版</v>
      </c>
      <c r="Z7" t="str">
        <v>交裁剪</v>
      </c>
      <c r="AA7">
        <v>0.04</v>
      </c>
      <c r="AC7" t="str">
        <v>三版</v>
      </c>
      <c r="AD7" t="str">
        <v>交裁剪</v>
      </c>
      <c r="AE7">
        <v>0.04</v>
      </c>
    </row>
    <row r="8">
      <c r="A8" t="str">
        <v>拍照样</v>
      </c>
      <c r="B8" t="str">
        <v>裁剪完成</v>
      </c>
      <c r="C8">
        <v>0.04</v>
      </c>
      <c r="E8" t="str">
        <v>产前样</v>
      </c>
      <c r="F8" t="str">
        <v>裁剪完成</v>
      </c>
      <c r="G8">
        <v>0.04</v>
      </c>
      <c r="I8" t="str">
        <v>开发样</v>
      </c>
      <c r="J8" t="str">
        <v>裁剪完成</v>
      </c>
      <c r="K8">
        <v>0.04</v>
      </c>
      <c r="M8" t="str">
        <v>产前样</v>
      </c>
      <c r="N8" t="str">
        <v>裁剪完成</v>
      </c>
      <c r="O8">
        <v>0.04</v>
      </c>
      <c r="Q8" t="str">
        <v>拍照样</v>
      </c>
      <c r="R8" t="str">
        <v>裁剪完成</v>
      </c>
      <c r="S8">
        <v>0.04</v>
      </c>
      <c r="U8" t="str">
        <v>头版</v>
      </c>
      <c r="V8" t="str">
        <v>裁剪完成</v>
      </c>
      <c r="W8">
        <v>0.04</v>
      </c>
      <c r="Y8" t="str">
        <v>二版</v>
      </c>
      <c r="Z8" t="str">
        <v>裁剪完成</v>
      </c>
      <c r="AA8">
        <v>0.04</v>
      </c>
      <c r="AC8" t="str">
        <v>三版</v>
      </c>
      <c r="AD8" t="str">
        <v>裁剪完成</v>
      </c>
      <c r="AE8">
        <v>0.04</v>
      </c>
    </row>
    <row r="9">
      <c r="A9" t="str">
        <v>拍照样</v>
      </c>
      <c r="B9" t="str">
        <v>裁片二次工艺完成</v>
      </c>
      <c r="C9">
        <v>1</v>
      </c>
      <c r="E9" t="str">
        <v>产前样</v>
      </c>
      <c r="F9" t="str">
        <v>裁片二次工艺完成</v>
      </c>
      <c r="G9">
        <v>1.5</v>
      </c>
      <c r="I9" t="str">
        <v>开发样</v>
      </c>
      <c r="J9" t="str">
        <v>裁片二次工艺完成</v>
      </c>
      <c r="K9">
        <v>1.5</v>
      </c>
      <c r="M9" t="str">
        <v>产前样</v>
      </c>
      <c r="N9" t="str">
        <v>裁片二次工艺完成</v>
      </c>
      <c r="O9">
        <v>1.5</v>
      </c>
      <c r="Q9" t="str">
        <v>拍照样</v>
      </c>
      <c r="R9" t="str">
        <v>裁片二次工艺完成</v>
      </c>
      <c r="S9">
        <v>1.5</v>
      </c>
      <c r="U9" t="str">
        <v>头版</v>
      </c>
      <c r="V9" t="str">
        <v>裁片二次工艺完成</v>
      </c>
      <c r="W9">
        <v>1.5</v>
      </c>
      <c r="Y9" t="str">
        <v>二版</v>
      </c>
      <c r="Z9" t="str">
        <v>裁片二次工艺完成</v>
      </c>
      <c r="AA9">
        <v>1.5</v>
      </c>
      <c r="AC9" t="str">
        <v>三版</v>
      </c>
      <c r="AD9" t="str">
        <v>裁片二次工艺完成</v>
      </c>
      <c r="AE9">
        <v>1.5</v>
      </c>
    </row>
    <row r="10">
      <c r="A10" t="str">
        <v>拍照样</v>
      </c>
      <c r="B10" t="str">
        <v>车缝完成</v>
      </c>
      <c r="C10">
        <v>0.25</v>
      </c>
      <c r="E10" t="str">
        <v>产前样</v>
      </c>
      <c r="F10" t="str">
        <v>车缝完成</v>
      </c>
      <c r="G10">
        <v>0.25</v>
      </c>
      <c r="I10" t="str">
        <v>开发样</v>
      </c>
      <c r="J10" t="str">
        <v>车缝完成</v>
      </c>
      <c r="K10">
        <v>0.25</v>
      </c>
      <c r="M10" t="str">
        <v>产前样</v>
      </c>
      <c r="N10" t="str">
        <v>车缝完成</v>
      </c>
      <c r="O10">
        <v>0.25</v>
      </c>
      <c r="Q10" t="str">
        <v>拍照样</v>
      </c>
      <c r="R10" t="str">
        <v>车缝完成</v>
      </c>
      <c r="S10">
        <v>0.25</v>
      </c>
      <c r="U10" t="str">
        <v>头版</v>
      </c>
      <c r="V10" t="str">
        <v>交车缝</v>
      </c>
      <c r="W10">
        <v>0.25</v>
      </c>
      <c r="Y10" t="str">
        <v>二版</v>
      </c>
      <c r="Z10" t="str">
        <v>交车缝</v>
      </c>
      <c r="AA10">
        <v>0.25</v>
      </c>
      <c r="AC10" t="str">
        <v>三版</v>
      </c>
      <c r="AD10" t="str">
        <v>交车缝</v>
      </c>
      <c r="AE10">
        <v>0.25</v>
      </c>
    </row>
    <row r="11">
      <c r="A11" t="str">
        <v>拍照样</v>
      </c>
      <c r="B11" t="str">
        <v>内部审版完成</v>
      </c>
      <c r="C11">
        <v>0.04</v>
      </c>
      <c r="E11" t="str">
        <v>产前样</v>
      </c>
      <c r="F11" t="str">
        <v>内部审版完成</v>
      </c>
      <c r="G11">
        <v>0.04</v>
      </c>
      <c r="I11" t="str">
        <v>开发样</v>
      </c>
      <c r="J11" t="str">
        <v>审核AB价</v>
      </c>
      <c r="K11">
        <v>0</v>
      </c>
      <c r="M11" t="str">
        <v>产前样</v>
      </c>
      <c r="N11" t="str">
        <v>内部审版完成</v>
      </c>
      <c r="O11">
        <v>0.04</v>
      </c>
      <c r="Q11" t="str">
        <v>拍照样</v>
      </c>
      <c r="R11" t="str">
        <v>内部审版完成</v>
      </c>
      <c r="S11">
        <v>0.04</v>
      </c>
      <c r="U11" t="str">
        <v>头版</v>
      </c>
      <c r="V11" t="str">
        <v>车缝完成</v>
      </c>
      <c r="W11">
        <v>0.25</v>
      </c>
      <c r="Y11" t="str">
        <v>二版</v>
      </c>
      <c r="Z11" t="str">
        <v>车缝完成</v>
      </c>
      <c r="AA11">
        <v>0.25</v>
      </c>
      <c r="AC11" t="str">
        <v>三版</v>
      </c>
      <c r="AD11" t="str">
        <v>车缝完成</v>
      </c>
      <c r="AE11">
        <v>0.25</v>
      </c>
    </row>
    <row r="12">
      <c r="E12" t="str">
        <v>产前样</v>
      </c>
      <c r="F12" t="str">
        <v>复核面辅料 IE核价完成</v>
      </c>
      <c r="G12">
        <v>0.04</v>
      </c>
      <c r="I12" t="str">
        <v>开发样</v>
      </c>
      <c r="J12" t="str">
        <v>内部审版完成</v>
      </c>
      <c r="K12">
        <v>0.08</v>
      </c>
      <c r="M12" t="str">
        <v>产前样</v>
      </c>
      <c r="N12" t="str">
        <v>复核面辅料 IE核价完成</v>
      </c>
      <c r="O12">
        <v>0.04</v>
      </c>
      <c r="U12" t="str">
        <v>头版</v>
      </c>
      <c r="V12" t="str">
        <v>审核AB价</v>
      </c>
      <c r="W12">
        <v>0.08</v>
      </c>
      <c r="Y12" t="str">
        <v>二版</v>
      </c>
      <c r="Z12" t="str">
        <v>审核AB价</v>
      </c>
      <c r="AA12">
        <v>0.08</v>
      </c>
      <c r="AC12" t="str">
        <v>三版</v>
      </c>
      <c r="AD12" t="str">
        <v>审核AB价</v>
      </c>
      <c r="AE12">
        <v>0.08</v>
      </c>
    </row>
    <row r="13">
      <c r="E13" t="str">
        <v>产前样</v>
      </c>
      <c r="F13" t="str">
        <v>复核工艺价格用量 实际核价完成</v>
      </c>
      <c r="G13">
        <v>0.04</v>
      </c>
      <c r="I13" t="str">
        <v>开发样</v>
      </c>
      <c r="J13" t="str">
        <v>抛用量完成</v>
      </c>
      <c r="K13">
        <v>0.08</v>
      </c>
      <c r="M13" t="str">
        <v>产前样</v>
      </c>
      <c r="N13" t="str">
        <v>复核工艺价格 用量实际核价完成</v>
      </c>
      <c r="O13">
        <v>0.04</v>
      </c>
      <c r="U13" t="str">
        <v>头版</v>
      </c>
      <c r="V13" t="str">
        <v>内部审版完成</v>
      </c>
      <c r="W13">
        <v>0.08</v>
      </c>
      <c r="Y13" t="str">
        <v>二版</v>
      </c>
      <c r="Z13" t="str">
        <v>内部审版完成</v>
      </c>
      <c r="AA13">
        <v>0.08</v>
      </c>
      <c r="AC13" t="str">
        <v>三版</v>
      </c>
      <c r="AD13" t="str">
        <v>内部审版完成</v>
      </c>
      <c r="AE13">
        <v>0.08</v>
      </c>
    </row>
    <row r="14">
      <c r="E14" t="str">
        <v>产前样</v>
      </c>
      <c r="F14" t="str">
        <v>大货下单</v>
      </c>
      <c r="G14">
        <v>0.04</v>
      </c>
      <c r="I14" t="str">
        <v>开发样</v>
      </c>
      <c r="J14" t="str">
        <v>复核面辅料 IE 核价完成</v>
      </c>
      <c r="K14">
        <v>0.04</v>
      </c>
      <c r="M14" t="str">
        <v>产前样</v>
      </c>
      <c r="N14" t="str">
        <v>大货下单</v>
      </c>
      <c r="O14">
        <v>0.04</v>
      </c>
      <c r="U14" t="str">
        <v>头版</v>
      </c>
      <c r="V14" t="str">
        <v>抛用量完成</v>
      </c>
      <c r="W14">
        <v>0.04</v>
      </c>
      <c r="Y14" t="str">
        <v>二版</v>
      </c>
      <c r="Z14" t="str">
        <v>抛用量完成</v>
      </c>
      <c r="AA14">
        <v>0.04</v>
      </c>
      <c r="AC14" t="str">
        <v>三版</v>
      </c>
      <c r="AD14" t="str">
        <v>抛用量完成</v>
      </c>
      <c r="AE14">
        <v>0.04</v>
      </c>
    </row>
    <row r="15">
      <c r="E15" t="str">
        <v>产前样</v>
      </c>
      <c r="F15" t="str">
        <v>移交物料卡</v>
      </c>
      <c r="G15">
        <v>0.08</v>
      </c>
      <c r="I15" t="str">
        <v>开发样</v>
      </c>
      <c r="J15" t="str">
        <v>报价 BOM 完成</v>
      </c>
      <c r="K15">
        <v>0.08</v>
      </c>
      <c r="M15" t="str">
        <v>产前样</v>
      </c>
      <c r="N15" t="str">
        <v>移交物料卡</v>
      </c>
      <c r="O15">
        <v>0.08</v>
      </c>
      <c r="U15" t="str">
        <v>头版</v>
      </c>
      <c r="V15" t="str">
        <v>复核面辅料 IE核价完成</v>
      </c>
      <c r="W15">
        <v>0.04</v>
      </c>
      <c r="Y15" t="str">
        <v>二版</v>
      </c>
      <c r="Z15" t="str">
        <v>复核面辅料 IE核价完成</v>
      </c>
      <c r="AA15">
        <v>0.04</v>
      </c>
      <c r="AC15" t="str">
        <v>三版</v>
      </c>
      <c r="AD15" t="str">
        <v>复核面辅料 IE核价完成</v>
      </c>
      <c r="AE15">
        <v>0.04</v>
      </c>
    </row>
    <row r="16">
      <c r="E16" t="str">
        <v>产前样</v>
      </c>
      <c r="F16" t="str">
        <v>移交样衣</v>
      </c>
      <c r="G16">
        <v>0.04</v>
      </c>
      <c r="I16" t="str">
        <v>开发样</v>
      </c>
      <c r="J16" t="str">
        <v>客户审版完成</v>
      </c>
      <c r="K16">
        <v>1</v>
      </c>
      <c r="M16" t="str">
        <v>产前样</v>
      </c>
      <c r="N16" t="str">
        <v>移交样衣</v>
      </c>
      <c r="O16">
        <v>0.04</v>
      </c>
      <c r="U16" t="str">
        <v>头版</v>
      </c>
      <c r="V16" t="str">
        <v>报价BOM完成</v>
      </c>
      <c r="W16">
        <v>0.08</v>
      </c>
      <c r="Y16" t="str">
        <v>二版</v>
      </c>
      <c r="Z16" t="str">
        <v>报价BOM完成</v>
      </c>
      <c r="AA16">
        <v>0.08</v>
      </c>
      <c r="AC16" t="str">
        <v>三版</v>
      </c>
      <c r="AD16" t="str">
        <v>报价BOM完成</v>
      </c>
      <c r="AE16">
        <v>0.08</v>
      </c>
    </row>
    <row r="17">
      <c r="U17" t="str">
        <v>头版</v>
      </c>
      <c r="V17" t="str">
        <v>客户审版完成</v>
      </c>
      <c r="W17">
        <v>1</v>
      </c>
      <c r="Y17" t="str">
        <v>二版</v>
      </c>
      <c r="Z17" t="str">
        <v>客户审版完成</v>
      </c>
      <c r="AA17">
        <v>1</v>
      </c>
      <c r="AC17" t="str">
        <v>三版</v>
      </c>
      <c r="AD17" t="str">
        <v>客户审版完成</v>
      </c>
      <c r="AE17">
        <v>1</v>
      </c>
    </row>
  </sheetData>
  <autoFilter ref="F1:G16"/>
  <pageMargins left="0.75" right="0.75" top="1" bottom="1" header="0.5" footer="0.5"/>
  <ignoredErrors>
    <ignoredError numberStoredAsText="1" sqref="A1:AE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 rightToLeft="0"/>
  </sheetViews>
  <sheetData>
    <row r="1">
      <c r="A1" t="str">
        <v>工作名称</v>
      </c>
      <c r="B1" t="str">
        <v>操作岗位</v>
      </c>
      <c r="C1" t="str">
        <v>基准时间</v>
      </c>
      <c r="D1" t="str">
        <v>时长单位</v>
      </c>
      <c r="E1" t="str">
        <v>开发样（头版、二版、三版等）</v>
      </c>
      <c r="F1" t="str">
        <v>头版</v>
      </c>
      <c r="G1" t="str">
        <v>二版</v>
      </c>
      <c r="H1" t="str">
        <v>三版</v>
      </c>
      <c r="I1" t="str">
        <v>拍照样</v>
      </c>
      <c r="J1" t="str">
        <v>产前样</v>
      </c>
      <c r="K1" t="str">
        <v>开发样</v>
      </c>
      <c r="L1" t="str">
        <v>吉聚产前样耗时</v>
      </c>
      <c r="M1" t="str">
        <v>吉聚拍照样耗时</v>
      </c>
    </row>
    <row r="2">
      <c r="A2" t="str">
        <v>确定图稿建立打样单</v>
      </c>
      <c r="B2" t="str">
        <v>设计师</v>
      </c>
      <c r="C2">
        <v>0.08</v>
      </c>
      <c r="D2" t="str">
        <v>天</v>
      </c>
      <c r="E2" t="str">
        <v>确定图稿建立打样单</v>
      </c>
      <c r="F2">
        <f>XLOOKUP(A2,节点耗时!V:V,节点耗时!W:W)</f>
        <v>0.08</v>
      </c>
      <c r="G2">
        <f>XLOOKUP(A2,节点耗时!Z:Z,节点耗时!AA:AA)</f>
        <v>0.08</v>
      </c>
      <c r="H2">
        <f>XLOOKUP(A2,节点耗时!AD:AD,节点耗时!AE:AE)</f>
        <v>0.08</v>
      </c>
      <c r="I2">
        <f>XLOOKUP(A2,节点耗时!R:R,节点耗时!S:S)</f>
        <v>0.08</v>
      </c>
      <c r="J2">
        <f>XLOOKUP(A2,节点耗时!N:N,节点耗时!O:O)</f>
        <v>0.08</v>
      </c>
      <c r="K2">
        <f>XLOOKUP(A2,节点耗时!J:J,节点耗时!K:K)</f>
        <v>0.08</v>
      </c>
      <c r="L2">
        <f>XLOOKUP(A2,节点耗时!F:F,节点耗时!G:G)</f>
        <v>0.08</v>
      </c>
      <c r="M2">
        <f>XLOOKUP(A2,节点耗时!B:B,节点耗时!C:C)</f>
        <v>0.08</v>
      </c>
    </row>
    <row r="3">
      <c r="A3" t="str">
        <v>纸样完成</v>
      </c>
      <c r="B3" t="str">
        <v>纸样师</v>
      </c>
      <c r="C3">
        <v>0.69</v>
      </c>
      <c r="D3" t="str">
        <v>天</v>
      </c>
      <c r="E3" t="str">
        <v>纸样完成</v>
      </c>
      <c r="F3">
        <f>XLOOKUP(A3,节点耗时!V:V,节点耗时!W:W)</f>
        <v>0.69</v>
      </c>
      <c r="G3">
        <f>XLOOKUP(A3,节点耗时!Z:Z,节点耗时!AA:AA)</f>
        <v>0.69</v>
      </c>
      <c r="H3">
        <f>XLOOKUP(A3,节点耗时!AD:AD,节点耗时!AE:AE)</f>
        <v>0.69</v>
      </c>
      <c r="I3">
        <f>XLOOKUP(A3,节点耗时!R:R,节点耗时!S:S)</f>
        <v>0.08</v>
      </c>
      <c r="J3">
        <f>XLOOKUP(A3,节点耗时!N:N,节点耗时!O:O)</f>
        <v>0.08</v>
      </c>
      <c r="K3">
        <f>XLOOKUP(A3,节点耗时!J:J,节点耗时!K:K)</f>
        <v>0.69</v>
      </c>
      <c r="L3">
        <f>XLOOKUP(A3,节点耗时!F:F,节点耗时!G:G)</f>
        <v>0.08</v>
      </c>
      <c r="M3">
        <f>XLOOKUP(A3,节点耗时!B:B,节点耗时!C:C)</f>
        <v>0.04</v>
      </c>
    </row>
    <row r="4">
      <c r="A4" t="str">
        <v>面料到位 辅料到位</v>
      </c>
      <c r="B4" t="str">
        <v>资料组</v>
      </c>
      <c r="C4">
        <v>2</v>
      </c>
      <c r="D4" t="str">
        <v>天</v>
      </c>
      <c r="E4" t="str">
        <v>面料到位、辅料到位</v>
      </c>
      <c r="F4">
        <f>XLOOKUP(A4,节点耗时!V:V,节点耗时!W:W)</f>
        <v>2</v>
      </c>
      <c r="G4">
        <f>XLOOKUP(A4,节点耗时!Z:Z,节点耗时!AA:AA)</f>
        <v>2</v>
      </c>
      <c r="H4">
        <f>XLOOKUP(A4,节点耗时!AD:AD,节点耗时!AE:AE)</f>
        <v>2</v>
      </c>
      <c r="I4">
        <f>XLOOKUP(A4,节点耗时!R:R,节点耗时!S:S)</f>
        <v>2</v>
      </c>
      <c r="J4">
        <f>XLOOKUP(A4,节点耗时!N:N,节点耗时!O:O)</f>
        <v>2</v>
      </c>
      <c r="K4">
        <f>XLOOKUP(A4,节点耗时!J:J,节点耗时!K:K)</f>
        <v>2</v>
      </c>
      <c r="L4">
        <f>XLOOKUP(A4,节点耗时!F:F,节点耗时!G:G)</f>
        <v>2</v>
      </c>
      <c r="M4">
        <f>XLOOKUP(A4,节点耗时!B:B,节点耗时!C:C)</f>
        <v>0.5</v>
      </c>
    </row>
    <row r="5">
      <c r="A5" t="str">
        <v>面料二次工艺完成 辅料二次工艺完成</v>
      </c>
      <c r="B5" t="str">
        <v>设计助理</v>
      </c>
      <c r="C5">
        <v>2</v>
      </c>
      <c r="D5" t="str">
        <v>天</v>
      </c>
      <c r="E5" t="str">
        <v>面料二次工艺完成、辅料二次工艺完成</v>
      </c>
      <c r="F5">
        <f>XLOOKUP(A5,节点耗时!V:V,节点耗时!W:W)</f>
        <v>2</v>
      </c>
      <c r="G5">
        <f>XLOOKUP(A5,节点耗时!Z:Z,节点耗时!AA:AA)</f>
        <v>2</v>
      </c>
      <c r="H5">
        <f>XLOOKUP(A5,节点耗时!AD:AD,节点耗时!AE:AE)</f>
        <v>2</v>
      </c>
      <c r="I5">
        <f>XLOOKUP(A5,节点耗时!R:R,节点耗时!S:S)</f>
        <v>2</v>
      </c>
      <c r="J5">
        <f>XLOOKUP(A5,节点耗时!N:N,节点耗时!O:O)</f>
        <v>2</v>
      </c>
      <c r="K5">
        <f>XLOOKUP(A5,节点耗时!J:J,节点耗时!K:K)</f>
        <v>2</v>
      </c>
      <c r="L5">
        <f>XLOOKUP(A5,节点耗时!F:F,节点耗时!G:G)</f>
        <v>2</v>
      </c>
      <c r="M5">
        <f>XLOOKUP(A5,节点耗时!B:B,节点耗时!C:C)</f>
        <v>0.97</v>
      </c>
    </row>
    <row r="6">
      <c r="A6" t="str">
        <v>裁片二次工艺录资料</v>
      </c>
      <c r="B6" t="str">
        <v>设计助理</v>
      </c>
      <c r="C6">
        <v>0.04</v>
      </c>
      <c r="D6" t="str">
        <v>天</v>
      </c>
      <c r="E6" t="str">
        <v>裁片二次工艺录资料</v>
      </c>
      <c r="F6">
        <f>XLOOKUP(A6,节点耗时!V:V,节点耗时!W:W)</f>
        <v>0.04</v>
      </c>
      <c r="G6">
        <f>XLOOKUP(A6,节点耗时!Z:Z,节点耗时!AA:AA)</f>
        <v>0.04</v>
      </c>
      <c r="H6">
        <f>XLOOKUP(A6,节点耗时!AD:AD,节点耗时!AE:AE)</f>
        <v>0.04</v>
      </c>
      <c r="I6">
        <f>XLOOKUP(A6,节点耗时!R:R,节点耗时!S:S)</f>
        <v>0.04</v>
      </c>
      <c r="J6">
        <f>XLOOKUP(A6,节点耗时!N:N,节点耗时!O:O)</f>
        <v>0.04</v>
      </c>
      <c r="K6">
        <f>XLOOKUP(A6,节点耗时!J:J,节点耗时!K:K)</f>
        <v>0.04</v>
      </c>
      <c r="L6">
        <f>XLOOKUP(A6,节点耗时!F:F,节点耗时!G:G)</f>
        <v>0.04</v>
      </c>
      <c r="M6">
        <f>XLOOKUP(A6,节点耗时!B:B,节点耗时!C:C)</f>
        <v>0.04</v>
      </c>
    </row>
    <row r="7">
      <c r="A7" t="str">
        <v>交裁剪</v>
      </c>
      <c r="B7" t="str">
        <v>设计助理</v>
      </c>
      <c r="C7">
        <v>0.04</v>
      </c>
      <c r="D7" t="str">
        <v>天</v>
      </c>
      <c r="E7" t="str">
        <v>交裁剪</v>
      </c>
      <c r="F7">
        <f>XLOOKUP(A7,节点耗时!V:V,节点耗时!W:W)</f>
        <v>0.04</v>
      </c>
      <c r="G7">
        <f>XLOOKUP(A7,节点耗时!Z:Z,节点耗时!AA:AA)</f>
        <v>0.04</v>
      </c>
      <c r="H7">
        <f>XLOOKUP(A7,节点耗时!AD:AD,节点耗时!AE:AE)</f>
        <v>0.04</v>
      </c>
      <c r="I7">
        <f>XLOOKUP(A7,节点耗时!R:R,节点耗时!S:S)</f>
        <v>0.04</v>
      </c>
      <c r="J7">
        <f>XLOOKUP(A7,节点耗时!N:N,节点耗时!O:O)</f>
        <v>0.04</v>
      </c>
      <c r="K7">
        <f>XLOOKUP(A7,节点耗时!J:J,节点耗时!K:K)</f>
        <v>0.04</v>
      </c>
      <c r="L7">
        <f>XLOOKUP(A7,节点耗时!F:F,节点耗时!G:G)</f>
        <v>0.04</v>
      </c>
      <c r="M7">
        <f>XLOOKUP(A7,节点耗时!B:B,节点耗时!C:C)</f>
        <v>0.04</v>
      </c>
    </row>
    <row r="8">
      <c r="A8" t="str">
        <v>裁剪完成</v>
      </c>
      <c r="B8" t="str">
        <v>裁版师</v>
      </c>
      <c r="C8">
        <v>0.04</v>
      </c>
      <c r="D8" t="str">
        <v>天</v>
      </c>
      <c r="E8" t="str">
        <v>裁剪完成</v>
      </c>
      <c r="F8">
        <f>XLOOKUP(A8,节点耗时!V:V,节点耗时!W:W)</f>
        <v>0.04</v>
      </c>
      <c r="G8">
        <f>XLOOKUP(A8,节点耗时!Z:Z,节点耗时!AA:AA)</f>
        <v>0.04</v>
      </c>
      <c r="H8">
        <f>XLOOKUP(A8,节点耗时!AD:AD,节点耗时!AE:AE)</f>
        <v>0.04</v>
      </c>
      <c r="I8">
        <f>XLOOKUP(A8,节点耗时!R:R,节点耗时!S:S)</f>
        <v>0.04</v>
      </c>
      <c r="J8">
        <f>XLOOKUP(A8,节点耗时!N:N,节点耗时!O:O)</f>
        <v>0.04</v>
      </c>
      <c r="K8">
        <f>XLOOKUP(A8,节点耗时!J:J,节点耗时!K:K)</f>
        <v>0.04</v>
      </c>
      <c r="L8">
        <f>XLOOKUP(A8,节点耗时!F:F,节点耗时!G:G)</f>
        <v>0.04</v>
      </c>
      <c r="M8">
        <f>XLOOKUP(A8,节点耗时!B:B,节点耗时!C:C)</f>
        <v>0.04</v>
      </c>
    </row>
    <row r="9">
      <c r="A9" t="str">
        <v>裁片二次工艺完成</v>
      </c>
      <c r="B9" t="str">
        <v>设计助理</v>
      </c>
      <c r="C9">
        <v>1.5</v>
      </c>
      <c r="D9" t="str">
        <v>天</v>
      </c>
      <c r="E9" t="str">
        <v>裁片二次工艺完成</v>
      </c>
      <c r="F9">
        <f>XLOOKUP(A9,节点耗时!V:V,节点耗时!W:W)</f>
        <v>1.5</v>
      </c>
      <c r="G9">
        <f>XLOOKUP(A9,节点耗时!Z:Z,节点耗时!AA:AA)</f>
        <v>1.5</v>
      </c>
      <c r="H9">
        <f>XLOOKUP(A9,节点耗时!AD:AD,节点耗时!AE:AE)</f>
        <v>1.5</v>
      </c>
      <c r="I9">
        <f>XLOOKUP(A9,节点耗时!R:R,节点耗时!S:S)</f>
        <v>1.5</v>
      </c>
      <c r="J9">
        <f>XLOOKUP(A9,节点耗时!N:N,节点耗时!O:O)</f>
        <v>1.5</v>
      </c>
      <c r="K9">
        <f>XLOOKUP(A9,节点耗时!J:J,节点耗时!K:K)</f>
        <v>1.5</v>
      </c>
      <c r="L9">
        <f>XLOOKUP(A9,节点耗时!F:F,节点耗时!G:G)</f>
        <v>1.5</v>
      </c>
      <c r="M9">
        <f>XLOOKUP(A9,节点耗时!B:B,节点耗时!C:C)</f>
        <v>1</v>
      </c>
    </row>
    <row r="10">
      <c r="A10" t="str">
        <v>交车缝</v>
      </c>
      <c r="B10" t="str">
        <v>车板师</v>
      </c>
      <c r="C10">
        <v>0.25</v>
      </c>
      <c r="D10" t="str">
        <v>天</v>
      </c>
      <c r="E10" t="str">
        <v>交车缝</v>
      </c>
      <c r="F10">
        <f>XLOOKUP(A10,节点耗时!V:V,节点耗时!W:W)</f>
        <v>0.25</v>
      </c>
      <c r="G10">
        <f>XLOOKUP(A10,节点耗时!Z:Z,节点耗时!AA:AA)</f>
        <v>0.25</v>
      </c>
      <c r="H10">
        <f>XLOOKUP(A10,节点耗时!AD:AD,节点耗时!AE:AE)</f>
        <v>0.25</v>
      </c>
      <c r="I10" t="e">
        <f>XLOOKUP(A10,节点耗时!R:R,节点耗时!S:S)</f>
        <v>#N/A</v>
      </c>
      <c r="J10" t="e">
        <f>XLOOKUP(A10,节点耗时!N:N,节点耗时!O:O)</f>
        <v>#N/A</v>
      </c>
      <c r="K10" t="e">
        <f>XLOOKUP(A10,节点耗时!J:J,节点耗时!K:K)</f>
        <v>#N/A</v>
      </c>
      <c r="L10" t="e">
        <f>XLOOKUP(A10,节点耗时!F:F,节点耗时!G:G)</f>
        <v>#N/A</v>
      </c>
      <c r="M10" t="e">
        <f>XLOOKUP(A10,节点耗时!B:B,节点耗时!C:C)</f>
        <v>#N/A</v>
      </c>
    </row>
    <row r="11">
      <c r="A11" t="str">
        <v>车缝完成</v>
      </c>
      <c r="B11" t="str">
        <v>车板师</v>
      </c>
      <c r="C11">
        <v>0</v>
      </c>
      <c r="D11" t="str">
        <v>天</v>
      </c>
      <c r="E11" t="str">
        <v>车缝完成</v>
      </c>
      <c r="F11">
        <f>XLOOKUP(A11,节点耗时!V:V,节点耗时!W:W)</f>
        <v>0.25</v>
      </c>
      <c r="G11">
        <f>XLOOKUP(A11,节点耗时!Z:Z,节点耗时!AA:AA)</f>
        <v>0.25</v>
      </c>
      <c r="H11">
        <f>XLOOKUP(A11,节点耗时!AD:AD,节点耗时!AE:AE)</f>
        <v>0.25</v>
      </c>
      <c r="I11">
        <f>XLOOKUP(A11,节点耗时!R:R,节点耗时!S:S)</f>
        <v>0.25</v>
      </c>
      <c r="J11">
        <f>XLOOKUP(A11,节点耗时!N:N,节点耗时!O:O)</f>
        <v>0.25</v>
      </c>
      <c r="K11">
        <f>XLOOKUP(A11,节点耗时!J:J,节点耗时!K:K)</f>
        <v>0.25</v>
      </c>
      <c r="L11">
        <f>XLOOKUP(A11,节点耗时!F:F,节点耗时!G:G)</f>
        <v>0.25</v>
      </c>
      <c r="M11">
        <f>XLOOKUP(A11,节点耗时!B:B,节点耗时!C:C)</f>
        <v>0.25</v>
      </c>
    </row>
    <row r="12">
      <c r="A12" t="str">
        <v>审核AB价</v>
      </c>
      <c r="B12" t="str">
        <v>设计主管</v>
      </c>
      <c r="C12">
        <v>0.08</v>
      </c>
      <c r="D12" t="str">
        <v>天</v>
      </c>
      <c r="E12" t="str">
        <v>审核 AB 价</v>
      </c>
      <c r="F12">
        <f>XLOOKUP(A12,节点耗时!V:V,节点耗时!W:W)</f>
        <v>0.08</v>
      </c>
      <c r="G12">
        <f>XLOOKUP(A12,节点耗时!Z:Z,节点耗时!AA:AA)</f>
        <v>0.08</v>
      </c>
      <c r="H12">
        <f>XLOOKUP(A12,节点耗时!AD:AD,节点耗时!AE:AE)</f>
        <v>0.08</v>
      </c>
      <c r="I12" t="e">
        <f>XLOOKUP(A12,节点耗时!R:R,节点耗时!S:S)</f>
        <v>#N/A</v>
      </c>
      <c r="J12" t="e">
        <f>XLOOKUP(A12,节点耗时!N:N,节点耗时!O:O)</f>
        <v>#N/A</v>
      </c>
      <c r="K12">
        <f>XLOOKUP(A12,节点耗时!J:J,节点耗时!K:K)</f>
        <v>0</v>
      </c>
      <c r="L12" t="e">
        <f>XLOOKUP(A12,节点耗时!F:F,节点耗时!G:G)</f>
        <v>#N/A</v>
      </c>
      <c r="M12" t="e">
        <f>XLOOKUP(A12,节点耗时!B:B,节点耗时!C:C)</f>
        <v>#N/A</v>
      </c>
    </row>
    <row r="13">
      <c r="A13" t="str">
        <v>内部审版完成</v>
      </c>
      <c r="B13" t="str">
        <v>设计主管</v>
      </c>
      <c r="C13">
        <v>0.08</v>
      </c>
      <c r="D13" t="str">
        <v>天</v>
      </c>
      <c r="E13" t="str">
        <v>内部审版完成</v>
      </c>
      <c r="F13">
        <f>XLOOKUP(A13,节点耗时!V:V,节点耗时!W:W)</f>
        <v>0.08</v>
      </c>
      <c r="G13">
        <f>XLOOKUP(A13,节点耗时!Z:Z,节点耗时!AA:AA)</f>
        <v>0.08</v>
      </c>
      <c r="H13">
        <f>XLOOKUP(A13,节点耗时!AD:AD,节点耗时!AE:AE)</f>
        <v>0.08</v>
      </c>
      <c r="I13">
        <f>XLOOKUP(A13,节点耗时!R:R,节点耗时!S:S)</f>
        <v>0.04</v>
      </c>
      <c r="J13">
        <f>XLOOKUP(A13,节点耗时!N:N,节点耗时!O:O)</f>
        <v>0.04</v>
      </c>
      <c r="K13">
        <f>XLOOKUP(A13,节点耗时!J:J,节点耗时!K:K)</f>
        <v>0.08</v>
      </c>
      <c r="L13">
        <f>XLOOKUP(A13,节点耗时!F:F,节点耗时!G:G)</f>
        <v>0.04</v>
      </c>
      <c r="M13">
        <f>XLOOKUP(A13,节点耗时!B:B,节点耗时!C:C)</f>
        <v>0.04</v>
      </c>
    </row>
    <row r="14">
      <c r="A14" t="str">
        <v>抛用量完成</v>
      </c>
      <c r="B14" t="str">
        <v>放码师</v>
      </c>
      <c r="C14">
        <v>0.04</v>
      </c>
      <c r="D14" t="str">
        <v>天</v>
      </c>
      <c r="E14" t="str">
        <v>抛用量完成</v>
      </c>
      <c r="F14">
        <f>XLOOKUP(A14,节点耗时!V:V,节点耗时!W:W)</f>
        <v>0.04</v>
      </c>
      <c r="G14">
        <f>XLOOKUP(A14,节点耗时!Z:Z,节点耗时!AA:AA)</f>
        <v>0.04</v>
      </c>
      <c r="H14">
        <f>XLOOKUP(A14,节点耗时!AD:AD,节点耗时!AE:AE)</f>
        <v>0.04</v>
      </c>
      <c r="I14" t="e">
        <f>XLOOKUP(A14,节点耗时!R:R,节点耗时!S:S)</f>
        <v>#N/A</v>
      </c>
      <c r="J14" t="e">
        <f>XLOOKUP(A14,节点耗时!N:N,节点耗时!O:O)</f>
        <v>#N/A</v>
      </c>
      <c r="K14">
        <f>XLOOKUP(A14,节点耗时!J:J,节点耗时!K:K)</f>
        <v>0.08</v>
      </c>
      <c r="L14" t="e">
        <f>XLOOKUP(A14,节点耗时!F:F,节点耗时!G:G)</f>
        <v>#N/A</v>
      </c>
      <c r="M14" t="e">
        <f>XLOOKUP(A14,节点耗时!B:B,节点耗时!C:C)</f>
        <v>#N/A</v>
      </c>
    </row>
    <row r="15">
      <c r="A15" t="str">
        <v>复核面辅料 IE核价完成</v>
      </c>
      <c r="B15" t="str">
        <v>IE</v>
      </c>
      <c r="C15">
        <v>0</v>
      </c>
      <c r="D15" t="str">
        <v>天</v>
      </c>
      <c r="E15" t="str">
        <v>复核面辅料、IE 核价完成</v>
      </c>
      <c r="F15">
        <f>XLOOKUP(A15,节点耗时!V:V,节点耗时!W:W)</f>
        <v>0.04</v>
      </c>
      <c r="G15">
        <f>XLOOKUP(A15,节点耗时!Z:Z,节点耗时!AA:AA)</f>
        <v>0.04</v>
      </c>
      <c r="H15">
        <f>XLOOKUP(A15,节点耗时!AD:AD,节点耗时!AE:AE)</f>
        <v>0.04</v>
      </c>
      <c r="I15" t="e">
        <f>XLOOKUP(A15,节点耗时!R:R,节点耗时!S:S)</f>
        <v>#N/A</v>
      </c>
      <c r="J15">
        <f>XLOOKUP(A15,节点耗时!N:N,节点耗时!O:O)</f>
        <v>0.04</v>
      </c>
      <c r="K15" t="e">
        <f>XLOOKUP(A15,节点耗时!J:J,节点耗时!K:K)</f>
        <v>#N/A</v>
      </c>
      <c r="L15">
        <f>XLOOKUP(A15,节点耗时!F:F,节点耗时!G:G)</f>
        <v>0.04</v>
      </c>
      <c r="M15" t="e">
        <f>XLOOKUP(A15,节点耗时!B:B,节点耗时!C:C)</f>
        <v>#N/A</v>
      </c>
    </row>
    <row r="16">
      <c r="A16" t="str">
        <v>报价BOM完成</v>
      </c>
      <c r="B16" t="str">
        <v>设计师</v>
      </c>
      <c r="C16">
        <v>0.08</v>
      </c>
      <c r="D16" t="str">
        <v>天</v>
      </c>
      <c r="E16" t="str">
        <v>报价 BOM 完成</v>
      </c>
      <c r="F16">
        <f>XLOOKUP(A16,节点耗时!V:V,节点耗时!W:W)</f>
        <v>0.08</v>
      </c>
      <c r="G16">
        <f>XLOOKUP(A16,节点耗时!Z:Z,节点耗时!AA:AA)</f>
        <v>0.08</v>
      </c>
      <c r="H16">
        <f>XLOOKUP(A16,节点耗时!AD:AD,节点耗时!AE:AE)</f>
        <v>0.08</v>
      </c>
      <c r="I16" t="e">
        <f>XLOOKUP(A16,节点耗时!R:R,节点耗时!S:S)</f>
        <v>#N/A</v>
      </c>
      <c r="J16" t="e">
        <f>XLOOKUP(A16,节点耗时!N:N,节点耗时!O:O)</f>
        <v>#N/A</v>
      </c>
      <c r="K16" t="e">
        <f>XLOOKUP(A16,节点耗时!J:J,节点耗时!K:K)</f>
        <v>#N/A</v>
      </c>
      <c r="L16" t="e">
        <f>XLOOKUP(A16,节点耗时!F:F,节点耗时!G:G)</f>
        <v>#N/A</v>
      </c>
      <c r="M16" t="e">
        <f>XLOOKUP(A16,节点耗时!B:B,节点耗时!C:C)</f>
        <v>#N/A</v>
      </c>
    </row>
    <row r="17">
      <c r="A17" t="str">
        <v>客户审版完成</v>
      </c>
      <c r="B17" t="str">
        <v>设计师</v>
      </c>
      <c r="C17">
        <v>1</v>
      </c>
      <c r="D17" t="str">
        <v>天</v>
      </c>
      <c r="E17" t="str">
        <v>客户审版完成</v>
      </c>
      <c r="F17">
        <f>XLOOKUP(A17,节点耗时!V:V,节点耗时!W:W)</f>
        <v>1</v>
      </c>
      <c r="G17">
        <f>XLOOKUP(A17,节点耗时!Z:Z,节点耗时!AA:AA)</f>
        <v>1</v>
      </c>
      <c r="H17">
        <f>XLOOKUP(A17,节点耗时!AD:AD,节点耗时!AE:AE)</f>
        <v>1</v>
      </c>
      <c r="I17" t="e">
        <f>XLOOKUP(A17,节点耗时!R:R,节点耗时!S:S)</f>
        <v>#N/A</v>
      </c>
      <c r="J17" t="e">
        <f>XLOOKUP(A17,节点耗时!N:N,节点耗时!O:O)</f>
        <v>#N/A</v>
      </c>
      <c r="K17">
        <f>XLOOKUP(A17,节点耗时!J:J,节点耗时!K:K)</f>
        <v>1</v>
      </c>
      <c r="L17" t="e">
        <f>XLOOKUP(A17,节点耗时!F:F,节点耗时!G:G)</f>
        <v>#N/A</v>
      </c>
      <c r="M17" t="e">
        <f>XLOOKUP(A17,节点耗时!B:B,节点耗时!C:C)</f>
        <v>#N/A</v>
      </c>
    </row>
    <row r="18">
      <c r="A18" t="str">
        <v>大麦放码完成</v>
      </c>
      <c r="B18" t="str">
        <v>放码师</v>
      </c>
      <c r="C18">
        <v>0</v>
      </c>
      <c r="D18" t="str">
        <v>天</v>
      </c>
      <c r="F18" t="e">
        <f>XLOOKUP(A18,节点耗时!V:V,节点耗时!W:W)</f>
        <v>#N/A</v>
      </c>
      <c r="G18" t="e">
        <f>XLOOKUP(A18,节点耗时!Z:Z,节点耗时!AA:AA)</f>
        <v>#N/A</v>
      </c>
      <c r="H18" t="e">
        <f>XLOOKUP(A18,节点耗时!AD:AD,节点耗时!AE:AE)</f>
        <v>#N/A</v>
      </c>
      <c r="I18" t="e">
        <f>XLOOKUP(A18,节点耗时!R:R,节点耗时!S:S)</f>
        <v>#N/A</v>
      </c>
      <c r="J18" t="e">
        <f>XLOOKUP(A18,节点耗时!N:N,节点耗时!O:O)</f>
        <v>#N/A</v>
      </c>
      <c r="K18" t="e">
        <f>XLOOKUP(A18,节点耗时!J:J,节点耗时!K:K)</f>
        <v>#N/A</v>
      </c>
      <c r="L18" t="e">
        <f>XLOOKUP(A18,节点耗时!F:F,节点耗时!G:G)</f>
        <v>#N/A</v>
      </c>
      <c r="M18" t="e">
        <f>XLOOKUP(A18,节点耗时!B:B,节点耗时!C:C)</f>
        <v>#N/A</v>
      </c>
    </row>
    <row r="19">
      <c r="A19" t="str">
        <v>大麦BOM完成</v>
      </c>
      <c r="B19" t="str">
        <v>资料组</v>
      </c>
      <c r="C19">
        <v>0</v>
      </c>
      <c r="D19" t="str">
        <v>天</v>
      </c>
      <c r="F19" t="e">
        <f>XLOOKUP(A19,节点耗时!V:V,节点耗时!W:W)</f>
        <v>#N/A</v>
      </c>
      <c r="G19" t="e">
        <f>XLOOKUP(A19,节点耗时!Z:Z,节点耗时!AA:AA)</f>
        <v>#N/A</v>
      </c>
      <c r="H19" t="e">
        <f>XLOOKUP(A19,节点耗时!AD:AD,节点耗时!AE:AE)</f>
        <v>#N/A</v>
      </c>
      <c r="I19" t="e">
        <f>XLOOKUP(A19,节点耗时!R:R,节点耗时!S:S)</f>
        <v>#N/A</v>
      </c>
      <c r="J19" t="e">
        <f>XLOOKUP(A19,节点耗时!N:N,节点耗时!O:O)</f>
        <v>#N/A</v>
      </c>
      <c r="K19" t="e">
        <f>XLOOKUP(A19,节点耗时!J:J,节点耗时!K:K)</f>
        <v>#N/A</v>
      </c>
      <c r="L19" t="e">
        <f>XLOOKUP(A19,节点耗时!F:F,节点耗时!G:G)</f>
        <v>#N/A</v>
      </c>
      <c r="M19" t="e">
        <f>XLOOKUP(A19,节点耗时!B:B,节点耗时!C:C)</f>
        <v>#N/A</v>
      </c>
    </row>
    <row r="20">
      <c r="A20" t="str">
        <v>复核工艺价格 用量实际核价完成</v>
      </c>
      <c r="B20" t="str">
        <v>IE</v>
      </c>
      <c r="C20">
        <v>0</v>
      </c>
      <c r="D20" t="str">
        <v>天</v>
      </c>
      <c r="F20" t="e">
        <f>XLOOKUP(A20,节点耗时!V:V,节点耗时!W:W)</f>
        <v>#N/A</v>
      </c>
      <c r="G20" t="e">
        <f>XLOOKUP(A20,节点耗时!Z:Z,节点耗时!AA:AA)</f>
        <v>#N/A</v>
      </c>
      <c r="H20" t="e">
        <f>XLOOKUP(A20,节点耗时!AD:AD,节点耗时!AE:AE)</f>
        <v>#N/A</v>
      </c>
      <c r="I20" t="e">
        <f>XLOOKUP(A20,节点耗时!R:R,节点耗时!S:S)</f>
        <v>#N/A</v>
      </c>
      <c r="J20">
        <f>XLOOKUP(A20,节点耗时!N:N,节点耗时!O:O)</f>
        <v>0.04</v>
      </c>
      <c r="K20" t="e">
        <f>XLOOKUP(A20,节点耗时!J:J,节点耗时!K:K)</f>
        <v>#N/A</v>
      </c>
      <c r="L20" t="e">
        <f>XLOOKUP(A20,节点耗时!F:F,节点耗时!G:G)</f>
        <v>#N/A</v>
      </c>
      <c r="M20" t="e">
        <f>XLOOKUP(A20,节点耗时!B:B,节点耗时!C:C)</f>
        <v>#N/A</v>
      </c>
    </row>
    <row r="21">
      <c r="A21" t="str">
        <v>大货下单</v>
      </c>
      <c r="B21" t="str">
        <v>大货跟单</v>
      </c>
      <c r="C21">
        <v>0</v>
      </c>
      <c r="D21" t="str">
        <v>天</v>
      </c>
      <c r="F21" t="e">
        <f>XLOOKUP(A21,节点耗时!V:V,节点耗时!W:W)</f>
        <v>#N/A</v>
      </c>
      <c r="G21" t="e">
        <f>XLOOKUP(A21,节点耗时!Z:Z,节点耗时!AA:AA)</f>
        <v>#N/A</v>
      </c>
      <c r="H21" t="e">
        <f>XLOOKUP(A21,节点耗时!AD:AD,节点耗时!AE:AE)</f>
        <v>#N/A</v>
      </c>
      <c r="I21" t="e">
        <f>XLOOKUP(A21,节点耗时!R:R,节点耗时!S:S)</f>
        <v>#N/A</v>
      </c>
      <c r="J21">
        <f>XLOOKUP(A21,节点耗时!N:N,节点耗时!O:O)</f>
        <v>0.04</v>
      </c>
      <c r="K21" t="e">
        <f>XLOOKUP(A21,节点耗时!J:J,节点耗时!K:K)</f>
        <v>#N/A</v>
      </c>
      <c r="L21">
        <f>XLOOKUP(A21,节点耗时!F:F,节点耗时!G:G)</f>
        <v>0.04</v>
      </c>
      <c r="M21" t="e">
        <f>XLOOKUP(A21,节点耗时!B:B,节点耗时!C:C)</f>
        <v>#N/A</v>
      </c>
    </row>
    <row r="22">
      <c r="A22" t="str">
        <v>移交物料卡</v>
      </c>
      <c r="B22" t="str">
        <v>资料组</v>
      </c>
      <c r="C22">
        <v>0</v>
      </c>
      <c r="D22" t="str">
        <v>天</v>
      </c>
      <c r="F22" t="e">
        <f>XLOOKUP(A22,节点耗时!V:V,节点耗时!W:W)</f>
        <v>#N/A</v>
      </c>
      <c r="G22" t="e">
        <f>XLOOKUP(A22,节点耗时!Z:Z,节点耗时!AA:AA)</f>
        <v>#N/A</v>
      </c>
      <c r="H22" t="e">
        <f>XLOOKUP(A22,节点耗时!AD:AD,节点耗时!AE:AE)</f>
        <v>#N/A</v>
      </c>
      <c r="I22" t="e">
        <f>XLOOKUP(A22,节点耗时!R:R,节点耗时!S:S)</f>
        <v>#N/A</v>
      </c>
      <c r="J22">
        <f>XLOOKUP(A22,节点耗时!N:N,节点耗时!O:O)</f>
        <v>0.08</v>
      </c>
      <c r="K22" t="e">
        <f>XLOOKUP(A22,节点耗时!J:J,节点耗时!K:K)</f>
        <v>#N/A</v>
      </c>
      <c r="L22">
        <f>XLOOKUP(A22,节点耗时!F:F,节点耗时!G:G)</f>
        <v>0.08</v>
      </c>
      <c r="M22" t="e">
        <f>XLOOKUP(A22,节点耗时!B:B,节点耗时!C:C)</f>
        <v>#N/A</v>
      </c>
    </row>
    <row r="23">
      <c r="A23" t="str">
        <v>移交样衣</v>
      </c>
      <c r="B23" t="str">
        <v>资料组</v>
      </c>
      <c r="C23">
        <v>0</v>
      </c>
      <c r="D23" t="str">
        <v>天</v>
      </c>
      <c r="F23" t="e">
        <f>XLOOKUP(A23,节点耗时!V:V,节点耗时!W:W)</f>
        <v>#N/A</v>
      </c>
      <c r="G23" t="e">
        <f>XLOOKUP(A23,节点耗时!Z:Z,节点耗时!AA:AA)</f>
        <v>#N/A</v>
      </c>
      <c r="H23" t="e">
        <f>XLOOKUP(A23,节点耗时!AD:AD,节点耗时!AE:AE)</f>
        <v>#N/A</v>
      </c>
      <c r="I23" t="e">
        <f>XLOOKUP(A23,节点耗时!R:R,节点耗时!S:S)</f>
        <v>#N/A</v>
      </c>
      <c r="J23">
        <f>XLOOKUP(A23,节点耗时!N:N,节点耗时!O:O)</f>
        <v>0.04</v>
      </c>
      <c r="K23" t="e">
        <f>XLOOKUP(A23,节点耗时!J:J,节点耗时!K:K)</f>
        <v>#N/A</v>
      </c>
      <c r="L23">
        <f>XLOOKUP(A23,节点耗时!F:F,节点耗时!G:G)</f>
        <v>0.04</v>
      </c>
      <c r="M23" t="e">
        <f>XLOOKUP(A23,节点耗时!B:B,节点耗时!C:C)</f>
        <v>#N/A</v>
      </c>
    </row>
  </sheetData>
  <pageMargins left="0.75" right="0.75" top="1" bottom="1" header="0.5" footer="0.5"/>
  <ignoredErrors>
    <ignoredError numberStoredAsText="1" sqref="A1:M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 rightToLeft="0"/>
  </sheetViews>
  <sheetData>
    <row r="1">
      <c r="A1" t="str">
        <v>工作名称</v>
      </c>
      <c r="B1" t="str">
        <v>操作岗位</v>
      </c>
      <c r="C1" t="str">
        <v>基准时间</v>
      </c>
      <c r="D1" t="str">
        <v>时长单位</v>
      </c>
      <c r="E1" t="str">
        <v>开发样（头版、二版、三版等）</v>
      </c>
      <c r="F1" t="str">
        <v>头版</v>
      </c>
      <c r="G1" t="str">
        <v>二版</v>
      </c>
      <c r="H1" t="str">
        <v>三版</v>
      </c>
      <c r="I1" t="str">
        <v>拍照样</v>
      </c>
      <c r="J1" t="str">
        <v>产前样</v>
      </c>
      <c r="K1" t="str">
        <v>开发样</v>
      </c>
      <c r="L1" t="str">
        <v>吉聚产前样耗时</v>
      </c>
      <c r="M1" t="str">
        <v>吉聚拍照样耗时</v>
      </c>
      <c r="N1" t="str">
        <v>产前样</v>
      </c>
      <c r="O1" t="str">
        <v>拍照样</v>
      </c>
    </row>
    <row r="2">
      <c r="A2" t="str">
        <v>确定图稿建立打样单</v>
      </c>
      <c r="B2" t="str">
        <v>设计师</v>
      </c>
      <c r="C2">
        <v>0.08</v>
      </c>
      <c r="D2" t="str">
        <v>天</v>
      </c>
      <c r="E2" t="str">
        <v>确定图稿建立打样单</v>
      </c>
      <c r="F2">
        <f>XLOOKUP(A2,节点耗时!V:V,节点耗时!W:W)</f>
        <v>0.08</v>
      </c>
      <c r="G2">
        <f>XLOOKUP(A2,节点耗时!Z:Z,节点耗时!AA:AA)</f>
        <v>0.08</v>
      </c>
      <c r="H2">
        <f>XLOOKUP(A2,节点耗时!AD:AD,节点耗时!AE:AE)</f>
        <v>0.08</v>
      </c>
      <c r="I2">
        <f>XLOOKUP(A2,节点耗时!R:R,节点耗时!S:S)</f>
        <v>0.08</v>
      </c>
      <c r="J2">
        <f>XLOOKUP(A2,节点耗时!N:N,节点耗时!O:O)</f>
        <v>0.08</v>
      </c>
      <c r="K2">
        <f>XLOOKUP(A2,节点耗时!J:J,节点耗时!K:K)</f>
        <v>0.08</v>
      </c>
      <c r="L2">
        <f>XLOOKUP(A2,节点耗时!F:F,节点耗时!G:G)</f>
        <v>0.08</v>
      </c>
      <c r="M2">
        <f>XLOOKUP(A2,节点耗时!B:B,节点耗时!C:C)</f>
        <v>0.08</v>
      </c>
      <c r="N2" t="b">
        <f>L2=J2</f>
        <v>1</v>
      </c>
      <c r="O2" t="b">
        <f>M2=I2</f>
        <v>1</v>
      </c>
    </row>
    <row r="3">
      <c r="A3" t="str">
        <v>纸样完成</v>
      </c>
      <c r="B3" t="str">
        <v>纸样师</v>
      </c>
      <c r="C3">
        <v>0.69</v>
      </c>
      <c r="D3" t="str">
        <v>天</v>
      </c>
      <c r="E3" t="str">
        <v>纸样完成</v>
      </c>
      <c r="F3">
        <f>XLOOKUP(A3,节点耗时!V:V,节点耗时!W:W)</f>
        <v>0.69</v>
      </c>
      <c r="G3">
        <f>XLOOKUP(A3,节点耗时!Z:Z,节点耗时!AA:AA)</f>
        <v>0.69</v>
      </c>
      <c r="H3">
        <f>XLOOKUP(A3,节点耗时!AD:AD,节点耗时!AE:AE)</f>
        <v>0.69</v>
      </c>
      <c r="I3">
        <f>XLOOKUP(A3,节点耗时!R:R,节点耗时!S:S)</f>
        <v>0.08</v>
      </c>
      <c r="J3">
        <f>XLOOKUP(A3,节点耗时!N:N,节点耗时!O:O)</f>
        <v>0.08</v>
      </c>
      <c r="K3">
        <f>XLOOKUP(A3,节点耗时!J:J,节点耗时!K:K)</f>
        <v>0.69</v>
      </c>
      <c r="L3">
        <f>XLOOKUP(A3,节点耗时!F:F,节点耗时!G:G)</f>
        <v>0.08</v>
      </c>
      <c r="M3">
        <f>XLOOKUP(A3,节点耗时!B:B,节点耗时!C:C)</f>
        <v>0.04</v>
      </c>
      <c r="N3" t="b">
        <f>L3=J3</f>
        <v>1</v>
      </c>
      <c r="O3" t="b">
        <f>M3=I3</f>
        <v>0</v>
      </c>
    </row>
    <row r="4">
      <c r="A4" t="str">
        <v>面料到位 辅料到位</v>
      </c>
      <c r="B4" t="str">
        <v>资料组</v>
      </c>
      <c r="C4">
        <v>2</v>
      </c>
      <c r="D4" t="str">
        <v>天</v>
      </c>
      <c r="E4" t="str">
        <v>面料到位、辅料到位</v>
      </c>
      <c r="F4">
        <f>XLOOKUP(A4,节点耗时!V:V,节点耗时!W:W)</f>
        <v>2</v>
      </c>
      <c r="G4">
        <f>XLOOKUP(A4,节点耗时!Z:Z,节点耗时!AA:AA)</f>
        <v>2</v>
      </c>
      <c r="H4">
        <f>XLOOKUP(A4,节点耗时!AD:AD,节点耗时!AE:AE)</f>
        <v>2</v>
      </c>
      <c r="I4">
        <f>XLOOKUP(A4,节点耗时!R:R,节点耗时!S:S)</f>
        <v>2</v>
      </c>
      <c r="J4">
        <f>XLOOKUP(A4,节点耗时!N:N,节点耗时!O:O)</f>
        <v>2</v>
      </c>
      <c r="K4">
        <f>XLOOKUP(A4,节点耗时!J:J,节点耗时!K:K)</f>
        <v>2</v>
      </c>
      <c r="L4">
        <f>XLOOKUP(A4,节点耗时!F:F,节点耗时!G:G)</f>
        <v>2</v>
      </c>
      <c r="M4">
        <f>XLOOKUP(A4,节点耗时!B:B,节点耗时!C:C)</f>
        <v>0.5</v>
      </c>
      <c r="N4" t="b">
        <f>L4=J4</f>
        <v>1</v>
      </c>
      <c r="O4" t="b">
        <f>M4=I4</f>
        <v>0</v>
      </c>
    </row>
    <row r="5">
      <c r="A5" t="str">
        <v>面料二次工艺完成 辅料二次工艺完成</v>
      </c>
      <c r="B5" t="str">
        <v>设计助理</v>
      </c>
      <c r="C5">
        <v>2</v>
      </c>
      <c r="D5" t="str">
        <v>天</v>
      </c>
      <c r="E5" t="str">
        <v>面料二次工艺完成、辅料二次工艺完成</v>
      </c>
      <c r="F5">
        <f>XLOOKUP(A5,节点耗时!V:V,节点耗时!W:W)</f>
        <v>2</v>
      </c>
      <c r="G5">
        <f>XLOOKUP(A5,节点耗时!Z:Z,节点耗时!AA:AA)</f>
        <v>2</v>
      </c>
      <c r="H5">
        <f>XLOOKUP(A5,节点耗时!AD:AD,节点耗时!AE:AE)</f>
        <v>2</v>
      </c>
      <c r="I5">
        <f>XLOOKUP(A5,节点耗时!R:R,节点耗时!S:S)</f>
        <v>2</v>
      </c>
      <c r="J5">
        <f>XLOOKUP(A5,节点耗时!N:N,节点耗时!O:O)</f>
        <v>2</v>
      </c>
      <c r="K5">
        <f>XLOOKUP(A5,节点耗时!J:J,节点耗时!K:K)</f>
        <v>2</v>
      </c>
      <c r="L5">
        <f>XLOOKUP(A5,节点耗时!F:F,节点耗时!G:G)</f>
        <v>2</v>
      </c>
      <c r="M5">
        <f>XLOOKUP(A5,节点耗时!B:B,节点耗时!C:C)</f>
        <v>0.97</v>
      </c>
      <c r="N5" t="b">
        <f>L5=J5</f>
        <v>1</v>
      </c>
      <c r="O5" t="b">
        <f>M5=I5</f>
        <v>0</v>
      </c>
    </row>
    <row r="6">
      <c r="A6" t="str">
        <v>裁片二次工艺录资料</v>
      </c>
      <c r="B6" t="str">
        <v>设计助理</v>
      </c>
      <c r="C6">
        <v>0.04</v>
      </c>
      <c r="D6" t="str">
        <v>天</v>
      </c>
      <c r="E6" t="str">
        <v>裁片二次工艺录资料</v>
      </c>
      <c r="F6">
        <f>XLOOKUP(A6,节点耗时!V:V,节点耗时!W:W)</f>
        <v>0.04</v>
      </c>
      <c r="G6">
        <f>XLOOKUP(A6,节点耗时!Z:Z,节点耗时!AA:AA)</f>
        <v>0.04</v>
      </c>
      <c r="H6">
        <f>XLOOKUP(A6,节点耗时!AD:AD,节点耗时!AE:AE)</f>
        <v>0.04</v>
      </c>
      <c r="I6">
        <f>XLOOKUP(A6,节点耗时!R:R,节点耗时!S:S)</f>
        <v>0.04</v>
      </c>
      <c r="J6">
        <f>XLOOKUP(A6,节点耗时!N:N,节点耗时!O:O)</f>
        <v>0.04</v>
      </c>
      <c r="K6">
        <f>XLOOKUP(A6,节点耗时!J:J,节点耗时!K:K)</f>
        <v>0.04</v>
      </c>
      <c r="L6">
        <f>XLOOKUP(A6,节点耗时!F:F,节点耗时!G:G)</f>
        <v>0.04</v>
      </c>
      <c r="M6">
        <f>XLOOKUP(A6,节点耗时!B:B,节点耗时!C:C)</f>
        <v>0.04</v>
      </c>
      <c r="N6" t="b">
        <f>L6=J6</f>
        <v>1</v>
      </c>
      <c r="O6" t="b">
        <f>M6=I6</f>
        <v>1</v>
      </c>
    </row>
    <row r="7">
      <c r="A7" t="str">
        <v>交裁剪</v>
      </c>
      <c r="B7" t="str">
        <v>设计助理</v>
      </c>
      <c r="C7">
        <v>0.04</v>
      </c>
      <c r="D7" t="str">
        <v>天</v>
      </c>
      <c r="E7" t="str">
        <v>交裁剪</v>
      </c>
      <c r="F7">
        <f>XLOOKUP(A7,节点耗时!V:V,节点耗时!W:W)</f>
        <v>0.04</v>
      </c>
      <c r="G7">
        <f>XLOOKUP(A7,节点耗时!Z:Z,节点耗时!AA:AA)</f>
        <v>0.04</v>
      </c>
      <c r="H7">
        <f>XLOOKUP(A7,节点耗时!AD:AD,节点耗时!AE:AE)</f>
        <v>0.04</v>
      </c>
      <c r="I7">
        <f>XLOOKUP(A7,节点耗时!R:R,节点耗时!S:S)</f>
        <v>0.04</v>
      </c>
      <c r="J7">
        <f>XLOOKUP(A7,节点耗时!N:N,节点耗时!O:O)</f>
        <v>0.04</v>
      </c>
      <c r="K7">
        <f>XLOOKUP(A7,节点耗时!J:J,节点耗时!K:K)</f>
        <v>0.04</v>
      </c>
      <c r="L7">
        <f>XLOOKUP(A7,节点耗时!F:F,节点耗时!G:G)</f>
        <v>0.04</v>
      </c>
      <c r="M7">
        <f>XLOOKUP(A7,节点耗时!B:B,节点耗时!C:C)</f>
        <v>0.04</v>
      </c>
      <c r="N7" t="b">
        <f>L7=J7</f>
        <v>1</v>
      </c>
      <c r="O7" t="b">
        <f>M7=I7</f>
        <v>1</v>
      </c>
    </row>
    <row r="8">
      <c r="A8" t="str">
        <v>裁剪完成</v>
      </c>
      <c r="B8" t="str">
        <v>裁版师</v>
      </c>
      <c r="C8">
        <v>0.04</v>
      </c>
      <c r="D8" t="str">
        <v>天</v>
      </c>
      <c r="E8" t="str">
        <v>裁剪完成</v>
      </c>
      <c r="F8">
        <f>XLOOKUP(A8,节点耗时!V:V,节点耗时!W:W)</f>
        <v>0.04</v>
      </c>
      <c r="G8">
        <f>XLOOKUP(A8,节点耗时!Z:Z,节点耗时!AA:AA)</f>
        <v>0.04</v>
      </c>
      <c r="H8">
        <f>XLOOKUP(A8,节点耗时!AD:AD,节点耗时!AE:AE)</f>
        <v>0.04</v>
      </c>
      <c r="I8">
        <f>XLOOKUP(A8,节点耗时!R:R,节点耗时!S:S)</f>
        <v>0.04</v>
      </c>
      <c r="J8">
        <f>XLOOKUP(A8,节点耗时!N:N,节点耗时!O:O)</f>
        <v>0.04</v>
      </c>
      <c r="K8">
        <f>XLOOKUP(A8,节点耗时!J:J,节点耗时!K:K)</f>
        <v>0.04</v>
      </c>
      <c r="L8">
        <f>XLOOKUP(A8,节点耗时!F:F,节点耗时!G:G)</f>
        <v>0.04</v>
      </c>
      <c r="M8">
        <f>XLOOKUP(A8,节点耗时!B:B,节点耗时!C:C)</f>
        <v>0.04</v>
      </c>
      <c r="N8" t="b">
        <f>L8=J8</f>
        <v>1</v>
      </c>
      <c r="O8" t="b">
        <f>M8=I8</f>
        <v>1</v>
      </c>
    </row>
    <row r="9">
      <c r="A9" t="str">
        <v>裁片二次工艺完成</v>
      </c>
      <c r="B9" t="str">
        <v>设计助理</v>
      </c>
      <c r="C9">
        <v>1.5</v>
      </c>
      <c r="D9" t="str">
        <v>天</v>
      </c>
      <c r="E9" t="str">
        <v>裁片二次工艺完成</v>
      </c>
      <c r="F9">
        <f>XLOOKUP(A9,节点耗时!V:V,节点耗时!W:W)</f>
        <v>1.5</v>
      </c>
      <c r="G9">
        <f>XLOOKUP(A9,节点耗时!Z:Z,节点耗时!AA:AA)</f>
        <v>1.5</v>
      </c>
      <c r="H9">
        <f>XLOOKUP(A9,节点耗时!AD:AD,节点耗时!AE:AE)</f>
        <v>1.5</v>
      </c>
      <c r="I9">
        <f>XLOOKUP(A9,节点耗时!R:R,节点耗时!S:S)</f>
        <v>1.5</v>
      </c>
      <c r="J9">
        <f>XLOOKUP(A9,节点耗时!N:N,节点耗时!O:O)</f>
        <v>1.5</v>
      </c>
      <c r="K9">
        <f>XLOOKUP(A9,节点耗时!J:J,节点耗时!K:K)</f>
        <v>1.5</v>
      </c>
      <c r="L9">
        <f>XLOOKUP(A9,节点耗时!F:F,节点耗时!G:G)</f>
        <v>1.5</v>
      </c>
      <c r="M9">
        <f>XLOOKUP(A9,节点耗时!B:B,节点耗时!C:C)</f>
        <v>1</v>
      </c>
      <c r="N9" t="b">
        <f>L9=J9</f>
        <v>1</v>
      </c>
      <c r="O9" t="b">
        <f>M9=I9</f>
        <v>0</v>
      </c>
    </row>
    <row r="10">
      <c r="A10" t="str">
        <v>交车缝</v>
      </c>
      <c r="B10" t="str">
        <v>车板师</v>
      </c>
      <c r="C10">
        <v>0.25</v>
      </c>
      <c r="D10" t="str">
        <v>天</v>
      </c>
      <c r="E10" t="str">
        <v>交车缝</v>
      </c>
      <c r="F10">
        <f>XLOOKUP(A10,节点耗时!V:V,节点耗时!W:W)</f>
        <v>0.25</v>
      </c>
      <c r="G10">
        <f>XLOOKUP(A10,节点耗时!Z:Z,节点耗时!AA:AA)</f>
        <v>0.25</v>
      </c>
      <c r="H10">
        <f>XLOOKUP(A10,节点耗时!AD:AD,节点耗时!AE:AE)</f>
        <v>0.25</v>
      </c>
      <c r="I10">
        <v>0.25</v>
      </c>
      <c r="J10">
        <v>0.25</v>
      </c>
      <c r="K10" t="e">
        <f>XLOOKUP(A10,节点耗时!J:J,节点耗时!K:K)</f>
        <v>#N/A</v>
      </c>
      <c r="L10">
        <v>0.25</v>
      </c>
      <c r="M10">
        <v>0.25</v>
      </c>
      <c r="N10" t="b">
        <f>L10=J10</f>
        <v>1</v>
      </c>
      <c r="O10" t="b">
        <f>M10=I10</f>
        <v>1</v>
      </c>
    </row>
    <row r="11">
      <c r="A11" t="str">
        <v>车缝完成</v>
      </c>
      <c r="B11" t="str">
        <v>车板师</v>
      </c>
      <c r="C11">
        <v>0</v>
      </c>
      <c r="D11" t="str">
        <v>天</v>
      </c>
      <c r="E11" t="str">
        <v>车缝完成</v>
      </c>
      <c r="F11">
        <f>XLOOKUP(A11,节点耗时!V:V,节点耗时!W:W)</f>
        <v>0.25</v>
      </c>
      <c r="G11">
        <f>XLOOKUP(A11,节点耗时!Z:Z,节点耗时!AA:AA)</f>
        <v>0.25</v>
      </c>
      <c r="H11">
        <f>XLOOKUP(A11,节点耗时!AD:AD,节点耗时!AE:AE)</f>
        <v>0.25</v>
      </c>
      <c r="I11">
        <f>XLOOKUP(A11,节点耗时!R:R,节点耗时!S:S)</f>
        <v>0.25</v>
      </c>
      <c r="J11">
        <f>XLOOKUP(A11,节点耗时!N:N,节点耗时!O:O)</f>
        <v>0.25</v>
      </c>
      <c r="K11">
        <f>XLOOKUP(A11,节点耗时!J:J,节点耗时!K:K)</f>
        <v>0.25</v>
      </c>
      <c r="L11">
        <f>XLOOKUP(A11,节点耗时!F:F,节点耗时!G:G)</f>
        <v>0.25</v>
      </c>
      <c r="M11">
        <f>XLOOKUP(A11,节点耗时!B:B,节点耗时!C:C)</f>
        <v>0.25</v>
      </c>
      <c r="N11" t="b">
        <f>L11=J11</f>
        <v>1</v>
      </c>
      <c r="O11" t="b">
        <f>M11=I11</f>
        <v>1</v>
      </c>
    </row>
    <row r="12">
      <c r="A12" t="str">
        <v>审核AB价</v>
      </c>
      <c r="B12" t="str">
        <v>设计主管</v>
      </c>
      <c r="C12">
        <v>0.08</v>
      </c>
      <c r="D12" t="str">
        <v>天</v>
      </c>
      <c r="E12" t="str">
        <v>审核 AB 价</v>
      </c>
      <c r="F12">
        <f>XLOOKUP(A12,节点耗时!V:V,节点耗时!W:W)</f>
        <v>0.08</v>
      </c>
      <c r="G12">
        <f>XLOOKUP(A12,节点耗时!Z:Z,节点耗时!AA:AA)</f>
        <v>0.08</v>
      </c>
      <c r="H12">
        <f>XLOOKUP(A12,节点耗时!AD:AD,节点耗时!AE:AE)</f>
        <v>0.08</v>
      </c>
      <c r="I12">
        <v>0.08</v>
      </c>
      <c r="J12">
        <v>0.08</v>
      </c>
      <c r="K12">
        <f>XLOOKUP(A12,节点耗时!J:J,节点耗时!K:K)</f>
        <v>0</v>
      </c>
      <c r="L12">
        <v>0.08</v>
      </c>
      <c r="M12">
        <v>0.08</v>
      </c>
      <c r="N12" t="b">
        <f>L12=J12</f>
        <v>1</v>
      </c>
      <c r="O12" t="b">
        <f>M12=I12</f>
        <v>1</v>
      </c>
    </row>
    <row r="13">
      <c r="A13" t="str">
        <v>内部审版完成</v>
      </c>
      <c r="B13" t="str">
        <v>设计主管</v>
      </c>
      <c r="C13">
        <v>0.08</v>
      </c>
      <c r="D13" t="str">
        <v>天</v>
      </c>
      <c r="E13" t="str">
        <v>内部审版完成</v>
      </c>
      <c r="F13">
        <f>XLOOKUP(A13,节点耗时!V:V,节点耗时!W:W)</f>
        <v>0.08</v>
      </c>
      <c r="G13">
        <f>XLOOKUP(A13,节点耗时!Z:Z,节点耗时!AA:AA)</f>
        <v>0.08</v>
      </c>
      <c r="H13">
        <f>XLOOKUP(A13,节点耗时!AD:AD,节点耗时!AE:AE)</f>
        <v>0.08</v>
      </c>
      <c r="I13">
        <f>XLOOKUP(A13,节点耗时!R:R,节点耗时!S:S)</f>
        <v>0.04</v>
      </c>
      <c r="J13">
        <f>XLOOKUP(A13,节点耗时!N:N,节点耗时!O:O)</f>
        <v>0.04</v>
      </c>
      <c r="K13">
        <f>XLOOKUP(A13,节点耗时!J:J,节点耗时!K:K)</f>
        <v>0.08</v>
      </c>
      <c r="L13">
        <f>XLOOKUP(A13,节点耗时!F:F,节点耗时!G:G)</f>
        <v>0.04</v>
      </c>
      <c r="M13">
        <f>XLOOKUP(A13,节点耗时!B:B,节点耗时!C:C)</f>
        <v>0.04</v>
      </c>
      <c r="N13" t="b">
        <f>L13=J13</f>
        <v>1</v>
      </c>
      <c r="O13" t="b">
        <f>M13=I13</f>
        <v>1</v>
      </c>
    </row>
    <row r="14">
      <c r="A14" t="str">
        <v>抛用量完成</v>
      </c>
      <c r="B14" t="str">
        <v>放码师</v>
      </c>
      <c r="C14">
        <v>0.04</v>
      </c>
      <c r="D14" t="str">
        <v>天</v>
      </c>
      <c r="E14" t="str">
        <v>抛用量完成</v>
      </c>
      <c r="F14">
        <f>XLOOKUP(A14,节点耗时!V:V,节点耗时!W:W)</f>
        <v>0.04</v>
      </c>
      <c r="G14">
        <f>XLOOKUP(A14,节点耗时!Z:Z,节点耗时!AA:AA)</f>
        <v>0.04</v>
      </c>
      <c r="H14">
        <f>XLOOKUP(A14,节点耗时!AD:AD,节点耗时!AE:AE)</f>
        <v>0.04</v>
      </c>
      <c r="I14">
        <v>0.04</v>
      </c>
      <c r="J14">
        <v>0.04</v>
      </c>
      <c r="K14">
        <f>XLOOKUP(A14,节点耗时!J:J,节点耗时!K:K)</f>
        <v>0.08</v>
      </c>
      <c r="L14">
        <v>0.04</v>
      </c>
      <c r="M14">
        <v>0.04</v>
      </c>
      <c r="N14" t="b">
        <f>L14=J14</f>
        <v>1</v>
      </c>
      <c r="O14" t="b">
        <f>M14=I14</f>
        <v>1</v>
      </c>
    </row>
    <row r="15">
      <c r="A15" t="str">
        <v>复核面辅料 IE核价完成</v>
      </c>
      <c r="B15" t="str">
        <v>IE</v>
      </c>
      <c r="C15">
        <v>0</v>
      </c>
      <c r="D15" t="str">
        <v>天</v>
      </c>
      <c r="E15" t="str">
        <v>复核面辅料、IE 核价完成</v>
      </c>
      <c r="F15">
        <v>0.08</v>
      </c>
      <c r="G15">
        <f>XLOOKUP(A15,节点耗时!Z:Z,节点耗时!AA:AA)</f>
        <v>0.04</v>
      </c>
      <c r="H15">
        <f>XLOOKUP(A15,节点耗时!AD:AD,节点耗时!AE:AE)</f>
        <v>0.04</v>
      </c>
      <c r="I15">
        <v>0.04</v>
      </c>
      <c r="J15">
        <f>XLOOKUP(A15,节点耗时!N:N,节点耗时!O:O)</f>
        <v>0.04</v>
      </c>
      <c r="K15" t="e">
        <f>XLOOKUP(A15,节点耗时!J:J,节点耗时!K:K)</f>
        <v>#N/A</v>
      </c>
      <c r="L15">
        <f>XLOOKUP(A15,节点耗时!F:F,节点耗时!G:G)</f>
        <v>0.04</v>
      </c>
      <c r="M15">
        <v>0.04</v>
      </c>
      <c r="N15" t="b">
        <f>L15=J15</f>
        <v>1</v>
      </c>
      <c r="O15" t="b">
        <f>M15=I15</f>
        <v>1</v>
      </c>
    </row>
    <row r="16">
      <c r="A16" t="str">
        <v>报价BOM完成</v>
      </c>
      <c r="B16" t="str">
        <v>设计师</v>
      </c>
      <c r="C16">
        <v>0.08</v>
      </c>
      <c r="D16" t="str">
        <v>天</v>
      </c>
      <c r="E16" t="str">
        <v>报价 BOM 完成</v>
      </c>
      <c r="F16">
        <f>XLOOKUP(A16,节点耗时!V:V,节点耗时!W:W)</f>
        <v>0.08</v>
      </c>
      <c r="G16">
        <f>XLOOKUP(A16,节点耗时!Z:Z,节点耗时!AA:AA)</f>
        <v>0.08</v>
      </c>
      <c r="H16">
        <f>XLOOKUP(A16,节点耗时!AD:AD,节点耗时!AE:AE)</f>
        <v>0.08</v>
      </c>
      <c r="I16">
        <v>0.08</v>
      </c>
      <c r="J16">
        <v>0.08</v>
      </c>
      <c r="K16" t="e">
        <f>XLOOKUP(A16,节点耗时!J:J,节点耗时!K:K)</f>
        <v>#N/A</v>
      </c>
      <c r="L16">
        <v>0.08</v>
      </c>
      <c r="M16">
        <v>0.08</v>
      </c>
      <c r="N16" t="b">
        <f>L16=J16</f>
        <v>1</v>
      </c>
      <c r="O16" t="b">
        <f>M16=I16</f>
        <v>1</v>
      </c>
    </row>
    <row r="17">
      <c r="A17" t="str">
        <v>客户审版完成</v>
      </c>
      <c r="B17" t="str">
        <v>设计师</v>
      </c>
      <c r="C17">
        <v>1</v>
      </c>
      <c r="D17" t="str">
        <v>天</v>
      </c>
      <c r="E17" t="str">
        <v>客户审版完成</v>
      </c>
      <c r="F17">
        <f>XLOOKUP(A17,节点耗时!V:V,节点耗时!W:W)</f>
        <v>1</v>
      </c>
      <c r="G17">
        <f>XLOOKUP(A17,节点耗时!Z:Z,节点耗时!AA:AA)</f>
        <v>1</v>
      </c>
      <c r="H17">
        <f>XLOOKUP(A17,节点耗时!AD:AD,节点耗时!AE:AE)</f>
        <v>1</v>
      </c>
      <c r="I17">
        <v>1</v>
      </c>
      <c r="J17">
        <v>1</v>
      </c>
      <c r="K17">
        <f>XLOOKUP(A17,节点耗时!J:J,节点耗时!K:K)</f>
        <v>1</v>
      </c>
      <c r="L17">
        <v>1</v>
      </c>
      <c r="M17">
        <v>1</v>
      </c>
      <c r="N17" t="b">
        <f>L17=J17</f>
        <v>1</v>
      </c>
      <c r="O17" t="b">
        <f>M17=I17</f>
        <v>1</v>
      </c>
    </row>
    <row r="18">
      <c r="A18" t="str">
        <v>大麦放码完成</v>
      </c>
      <c r="B18" t="str">
        <v>放码师</v>
      </c>
      <c r="C18">
        <f>2/24</f>
        <v>0.0833333333333333</v>
      </c>
      <c r="D18" t="str">
        <v>天</v>
      </c>
      <c r="F18">
        <v>0.08</v>
      </c>
      <c r="G18">
        <v>0.08</v>
      </c>
      <c r="H18">
        <v>0.08</v>
      </c>
      <c r="I18">
        <v>0.08</v>
      </c>
      <c r="J18">
        <v>0.08</v>
      </c>
      <c r="K18">
        <v>0.08</v>
      </c>
      <c r="L18">
        <v>0.08</v>
      </c>
      <c r="M18">
        <v>0.08</v>
      </c>
      <c r="N18" t="b">
        <f>L18=J18</f>
        <v>1</v>
      </c>
      <c r="O18" t="b">
        <f>M18=I18</f>
        <v>1</v>
      </c>
    </row>
    <row r="19">
      <c r="A19" t="str">
        <v>大麦BOM完成</v>
      </c>
      <c r="B19" t="str">
        <v>资料组</v>
      </c>
      <c r="C19">
        <f>2/24</f>
        <v>0.0833333333333333</v>
      </c>
      <c r="D19" t="str">
        <v>天</v>
      </c>
      <c r="F19">
        <v>0.08</v>
      </c>
      <c r="G19">
        <v>0.08</v>
      </c>
      <c r="H19">
        <v>0.08</v>
      </c>
      <c r="I19">
        <v>0.08</v>
      </c>
      <c r="J19">
        <v>0.08</v>
      </c>
      <c r="K19">
        <v>0.08</v>
      </c>
      <c r="L19">
        <v>0.08</v>
      </c>
      <c r="M19">
        <v>0.08</v>
      </c>
      <c r="N19" t="b">
        <f>L19=J19</f>
        <v>1</v>
      </c>
      <c r="O19" t="b">
        <f>M19=I19</f>
        <v>1</v>
      </c>
    </row>
    <row r="20">
      <c r="A20" t="str">
        <v>复核工艺价格 用量实际核价完成</v>
      </c>
      <c r="B20" t="str">
        <v>IE</v>
      </c>
      <c r="C20">
        <v>0.04</v>
      </c>
      <c r="D20" t="str">
        <v>天</v>
      </c>
      <c r="F20">
        <v>0.04</v>
      </c>
      <c r="G20">
        <v>0.04</v>
      </c>
      <c r="H20">
        <v>0.04</v>
      </c>
      <c r="I20">
        <v>0.04</v>
      </c>
      <c r="J20">
        <f>XLOOKUP(A20,节点耗时!N:N,节点耗时!O:O)</f>
        <v>0.04</v>
      </c>
      <c r="K20">
        <v>0.04</v>
      </c>
      <c r="L20">
        <v>0.04</v>
      </c>
      <c r="M20">
        <v>0.04</v>
      </c>
      <c r="N20" t="b">
        <f>L20=J20</f>
        <v>1</v>
      </c>
      <c r="O20" t="b">
        <f>M20=I20</f>
        <v>1</v>
      </c>
    </row>
    <row r="21">
      <c r="A21" t="str">
        <v>大货下单</v>
      </c>
      <c r="B21" t="str">
        <v>大货跟单</v>
      </c>
      <c r="C21">
        <v>0.04</v>
      </c>
      <c r="D21" t="str">
        <v>天</v>
      </c>
      <c r="F21">
        <v>0.04</v>
      </c>
      <c r="G21">
        <v>0.04</v>
      </c>
      <c r="H21">
        <v>0.04</v>
      </c>
      <c r="I21">
        <v>0.04</v>
      </c>
      <c r="J21">
        <f>XLOOKUP(A21,节点耗时!N:N,节点耗时!O:O)</f>
        <v>0.04</v>
      </c>
      <c r="K21">
        <v>0.04</v>
      </c>
      <c r="L21">
        <f>XLOOKUP(A21,节点耗时!F:F,节点耗时!G:G)</f>
        <v>0.04</v>
      </c>
      <c r="M21">
        <v>0.04</v>
      </c>
      <c r="N21" t="b">
        <f>L21=J21</f>
        <v>1</v>
      </c>
      <c r="O21" t="b">
        <f>M21=I21</f>
        <v>1</v>
      </c>
    </row>
    <row r="22">
      <c r="A22" t="str">
        <v>移交物料卡</v>
      </c>
      <c r="B22" t="str">
        <v>资料组</v>
      </c>
      <c r="C22">
        <v>0.08</v>
      </c>
      <c r="D22" t="str">
        <v>天</v>
      </c>
      <c r="F22">
        <v>0.08</v>
      </c>
      <c r="G22">
        <v>0.08</v>
      </c>
      <c r="H22">
        <v>0.08</v>
      </c>
      <c r="I22">
        <v>0.08</v>
      </c>
      <c r="J22">
        <f>XLOOKUP(A22,节点耗时!N:N,节点耗时!O:O)</f>
        <v>0.08</v>
      </c>
      <c r="K22">
        <v>0.08</v>
      </c>
      <c r="L22">
        <f>XLOOKUP(A22,节点耗时!F:F,节点耗时!G:G)</f>
        <v>0.08</v>
      </c>
      <c r="M22">
        <v>0.08</v>
      </c>
      <c r="N22" t="b">
        <f>L22=J22</f>
        <v>1</v>
      </c>
      <c r="O22" t="b">
        <f>M22=I22</f>
        <v>1</v>
      </c>
    </row>
    <row r="23">
      <c r="A23" t="str">
        <v>移交样衣</v>
      </c>
      <c r="B23" t="str">
        <v>资料组</v>
      </c>
      <c r="C23">
        <v>0.04</v>
      </c>
      <c r="D23" t="str">
        <v>天</v>
      </c>
      <c r="F23">
        <v>0.04</v>
      </c>
      <c r="G23">
        <v>0.04</v>
      </c>
      <c r="H23">
        <v>0.04</v>
      </c>
      <c r="I23">
        <v>0.04</v>
      </c>
      <c r="J23">
        <f>XLOOKUP(A23,节点耗时!N:N,节点耗时!O:O)</f>
        <v>0.04</v>
      </c>
      <c r="K23">
        <v>0.04</v>
      </c>
      <c r="L23">
        <f>XLOOKUP(A23,节点耗时!F:F,节点耗时!G:G)</f>
        <v>0.04</v>
      </c>
      <c r="M23">
        <v>0.04</v>
      </c>
      <c r="N23" t="b">
        <f>L23=J23</f>
        <v>1</v>
      </c>
      <c r="O23" t="b">
        <f>M23=I23</f>
        <v>1</v>
      </c>
    </row>
    <row r="24">
      <c r="A24" t="str">
        <v>实际用量完成</v>
      </c>
      <c r="C24">
        <v>0.04</v>
      </c>
      <c r="D24">
        <v>0.04</v>
      </c>
      <c r="E24">
        <v>0.04</v>
      </c>
      <c r="F24">
        <v>0.04</v>
      </c>
      <c r="G24">
        <v>0.04</v>
      </c>
      <c r="H24">
        <v>0.04</v>
      </c>
      <c r="I24">
        <v>0.04</v>
      </c>
      <c r="J24">
        <v>0.04</v>
      </c>
      <c r="K24">
        <v>0.04</v>
      </c>
      <c r="L24">
        <v>0.04</v>
      </c>
      <c r="M24">
        <v>0.04</v>
      </c>
    </row>
    <row r="25">
      <c r="A25" t="str">
        <v>大麦核价完成</v>
      </c>
      <c r="C25">
        <v>0.08</v>
      </c>
      <c r="D25">
        <v>0.08</v>
      </c>
      <c r="E25">
        <v>0.08</v>
      </c>
      <c r="F25">
        <v>0.08</v>
      </c>
      <c r="G25">
        <v>0.08</v>
      </c>
      <c r="H25">
        <v>0.08</v>
      </c>
      <c r="I25">
        <v>0.08</v>
      </c>
      <c r="J25">
        <v>0.08</v>
      </c>
      <c r="K25">
        <v>0.08</v>
      </c>
      <c r="L25">
        <v>0.08</v>
      </c>
      <c r="M25">
        <v>0.08</v>
      </c>
    </row>
    <row r="26">
      <c r="A26" t="str">
        <v>大货面料采购</v>
      </c>
      <c r="F26">
        <v>0.0833333333333333</v>
      </c>
    </row>
  </sheetData>
  <pageMargins left="0.75" right="0.75" top="1" bottom="1" header="0.5" footer="0.5"/>
  <ignoredErrors>
    <ignoredError numberStoredAsText="1" sqref="A1:O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4"/>
  <sheetViews>
    <sheetView workbookViewId="0" rightToLeft="0"/>
  </sheetViews>
  <sheetData>
    <row r="1">
      <c r="A1" t="str">
        <v>节点操作</v>
      </c>
      <c r="B1" t="str">
        <v>操作岗位</v>
      </c>
      <c r="C1" t="str">
        <v>操作人</v>
      </c>
    </row>
    <row r="2">
      <c r="A2" t="str">
        <v>确定图稿建立打样单</v>
      </c>
      <c r="B2" t="str">
        <v>设计师</v>
      </c>
      <c r="C2" t="str">
        <v>彭林丽</v>
      </c>
      <c r="D2" t="str">
        <f>B2&amp;C2</f>
        <v>设计师彭林丽</v>
      </c>
    </row>
    <row r="3">
      <c r="A3" t="str">
        <v>确定图稿建立打样单</v>
      </c>
      <c r="B3" t="str">
        <v>设计师</v>
      </c>
      <c r="C3" t="str">
        <v>梁卫芬</v>
      </c>
      <c r="D3" t="str">
        <f>B3&amp;C3</f>
        <v>设计师梁卫芬</v>
      </c>
    </row>
    <row r="4">
      <c r="A4" t="str">
        <v>确定图稿建立打样单</v>
      </c>
      <c r="B4" t="str">
        <v>设计师</v>
      </c>
      <c r="C4" t="str">
        <v>薛惠分</v>
      </c>
      <c r="D4" t="str">
        <f>B4&amp;C4</f>
        <v>设计师薛惠分</v>
      </c>
    </row>
    <row r="5">
      <c r="A5" t="str">
        <v>纸样完成</v>
      </c>
      <c r="B5" t="str">
        <v>纸样师</v>
      </c>
      <c r="C5" t="str">
        <v>房毅</v>
      </c>
      <c r="D5" t="str">
        <f>B5&amp;C5</f>
        <v>纸样师房毅</v>
      </c>
    </row>
    <row r="6">
      <c r="A6" t="str">
        <v>纸样完成</v>
      </c>
      <c r="B6" t="str">
        <v>纸样师</v>
      </c>
      <c r="C6" t="str">
        <v>胡林松</v>
      </c>
      <c r="D6" t="str">
        <f>B6&amp;C6</f>
        <v>纸样师胡林松</v>
      </c>
    </row>
    <row r="7">
      <c r="A7" t="str">
        <v>纸样完成</v>
      </c>
      <c r="B7" t="str">
        <v>纸样师</v>
      </c>
      <c r="C7" t="str">
        <v>李超</v>
      </c>
      <c r="D7" t="str">
        <f>B7&amp;C7</f>
        <v>纸样师李超</v>
      </c>
    </row>
    <row r="8">
      <c r="A8" t="str">
        <v>面料到位 辅料到位</v>
      </c>
      <c r="B8" t="str">
        <v>资料员</v>
      </c>
      <c r="C8" t="str">
        <v>梁卫婷</v>
      </c>
      <c r="D8" t="str">
        <f>B8&amp;C8</f>
        <v>资料员梁卫婷</v>
      </c>
    </row>
    <row r="9">
      <c r="A9" t="str">
        <v>面料到位 辅料到位</v>
      </c>
      <c r="B9" t="str">
        <v>资料员</v>
      </c>
      <c r="C9" t="str">
        <v>梁卫婷</v>
      </c>
      <c r="D9" t="str">
        <f>B9&amp;C9</f>
        <v>资料员梁卫婷</v>
      </c>
    </row>
    <row r="10">
      <c r="A10" t="str">
        <v>面料二次工艺完成 辅料二次工艺完成</v>
      </c>
      <c r="B10" t="str">
        <v>设计助理</v>
      </c>
      <c r="C10" t="str">
        <v>梁卫婷</v>
      </c>
      <c r="D10" t="str">
        <f>B10&amp;C10</f>
        <v>设计助理梁卫婷</v>
      </c>
    </row>
    <row r="11">
      <c r="A11" t="str">
        <v>面料二次工艺完成 辅料二次工艺完成</v>
      </c>
      <c r="B11" t="str">
        <v>设计助理</v>
      </c>
      <c r="C11" t="str">
        <v>梁卫芬</v>
      </c>
      <c r="D11" t="str">
        <f>B11&amp;C11</f>
        <v>设计助理梁卫芬</v>
      </c>
    </row>
    <row r="12">
      <c r="A12" t="str">
        <v>面料二次工艺完成 辅料二次工艺完成</v>
      </c>
      <c r="B12" t="str">
        <v>设计助理</v>
      </c>
      <c r="C12" t="str">
        <v>彭林丽</v>
      </c>
      <c r="D12" t="str">
        <f>B12&amp;C12</f>
        <v>设计助理彭林丽</v>
      </c>
    </row>
    <row r="13">
      <c r="A13" t="str">
        <v>面料二次工艺完成 辅料二次工艺完成</v>
      </c>
      <c r="B13" t="str">
        <v>设计助理</v>
      </c>
      <c r="C13" t="str">
        <v>薛惠分</v>
      </c>
      <c r="D13" t="str">
        <f>B13&amp;C13</f>
        <v>设计助理薛惠分</v>
      </c>
    </row>
    <row r="14">
      <c r="A14" t="str">
        <v>面料二次工艺完成 辅料二次工艺完成</v>
      </c>
      <c r="B14" t="str">
        <v>设计助理</v>
      </c>
      <c r="C14" t="str">
        <v>周念</v>
      </c>
      <c r="D14" t="str">
        <f>B14&amp;C14</f>
        <v>设计助理周念</v>
      </c>
    </row>
    <row r="15">
      <c r="A15" t="str">
        <v>面料二次工艺完成 辅料二次工艺完成</v>
      </c>
      <c r="B15" t="str">
        <v>设计助理</v>
      </c>
      <c r="C15" t="str">
        <v>薛惠分</v>
      </c>
      <c r="D15" t="str">
        <f>B15&amp;C15</f>
        <v>设计助理薛惠分</v>
      </c>
    </row>
    <row r="16">
      <c r="A16" t="str">
        <v>面料二次工艺完成 辅料二次工艺完成</v>
      </c>
      <c r="B16" t="str">
        <v>设计助理</v>
      </c>
      <c r="C16" t="str">
        <v>梁卫芬</v>
      </c>
      <c r="D16" t="str">
        <f>B16&amp;C16</f>
        <v>设计助理梁卫芬</v>
      </c>
    </row>
    <row r="17">
      <c r="A17" t="str">
        <v>裁片二次工艺录资料</v>
      </c>
      <c r="B17" t="str">
        <v>设计助理</v>
      </c>
      <c r="C17" t="str">
        <v>梁卫芬</v>
      </c>
      <c r="D17" t="str">
        <f>B17&amp;C17</f>
        <v>设计助理梁卫芬</v>
      </c>
    </row>
    <row r="18">
      <c r="A18" t="str">
        <v>裁片二次工艺录资料</v>
      </c>
      <c r="B18" t="str">
        <v>设计助理</v>
      </c>
      <c r="C18" t="str">
        <v>彭林丽</v>
      </c>
      <c r="D18" t="str">
        <f>B18&amp;C18</f>
        <v>设计助理彭林丽</v>
      </c>
    </row>
    <row r="19">
      <c r="A19" t="str">
        <v>裁片二次工艺录资料</v>
      </c>
      <c r="B19" t="str">
        <v>设计助理</v>
      </c>
      <c r="C19" t="str">
        <v>周念</v>
      </c>
      <c r="D19" t="str">
        <f>B19&amp;C19</f>
        <v>设计助理周念</v>
      </c>
    </row>
    <row r="20">
      <c r="A20" t="str">
        <v>裁片二次工艺录资料</v>
      </c>
      <c r="B20" t="str">
        <v>设计助理</v>
      </c>
      <c r="C20" t="str">
        <v>薛惠分</v>
      </c>
      <c r="D20" t="str">
        <f>B20&amp;C20</f>
        <v>设计助理薛惠分</v>
      </c>
    </row>
    <row r="21">
      <c r="A21" t="str">
        <v>交裁剪</v>
      </c>
      <c r="B21" t="str">
        <v>设计助理</v>
      </c>
      <c r="C21" t="str">
        <v>梁卫芬</v>
      </c>
      <c r="D21" t="str">
        <f>B21&amp;C21</f>
        <v>设计助理梁卫芬</v>
      </c>
    </row>
    <row r="22">
      <c r="A22" t="str">
        <v>交裁剪</v>
      </c>
      <c r="B22" t="str">
        <v>设计助理</v>
      </c>
      <c r="C22" t="str">
        <v>彭林丽</v>
      </c>
      <c r="D22" t="str">
        <f>B22&amp;C22</f>
        <v>设计助理彭林丽</v>
      </c>
    </row>
    <row r="23">
      <c r="A23" t="str">
        <v>交裁剪</v>
      </c>
      <c r="B23" t="str">
        <v>设计助理</v>
      </c>
      <c r="C23" t="str">
        <v>周念</v>
      </c>
      <c r="D23" t="str">
        <f>B23&amp;C23</f>
        <v>设计助理周念</v>
      </c>
    </row>
    <row r="24">
      <c r="A24" t="str">
        <v>交裁剪</v>
      </c>
      <c r="B24" t="str">
        <v>设计助理</v>
      </c>
      <c r="C24" t="str">
        <v>薛惠分</v>
      </c>
      <c r="D24" t="str">
        <f>B24&amp;C24</f>
        <v>设计助理薛惠分</v>
      </c>
    </row>
    <row r="25">
      <c r="A25" t="str">
        <v>裁剪完成</v>
      </c>
      <c r="B25" t="str">
        <v>裁版师</v>
      </c>
      <c r="C25" t="str">
        <v>张得财</v>
      </c>
      <c r="D25" t="str">
        <f>B25&amp;C25</f>
        <v>裁版师张得财</v>
      </c>
    </row>
    <row r="26">
      <c r="A26" t="str">
        <v>裁片二次工艺完成</v>
      </c>
      <c r="B26" t="str">
        <v>设计助理</v>
      </c>
      <c r="C26" t="str">
        <v>梁卫芬</v>
      </c>
      <c r="D26" t="str">
        <f>B26&amp;C26</f>
        <v>设计助理梁卫芬</v>
      </c>
    </row>
    <row r="27">
      <c r="A27" t="str">
        <v>裁片二次工艺完成</v>
      </c>
      <c r="B27" t="str">
        <v>设计助理</v>
      </c>
      <c r="C27" t="str">
        <v>彭林丽</v>
      </c>
      <c r="D27" t="str">
        <f>B27&amp;C27</f>
        <v>设计助理彭林丽</v>
      </c>
    </row>
    <row r="28">
      <c r="A28" t="str">
        <v>裁片二次工艺完成</v>
      </c>
      <c r="B28" t="str">
        <v>设计助理</v>
      </c>
      <c r="C28" t="str">
        <v>周念</v>
      </c>
      <c r="D28" t="str">
        <f>B28&amp;C28</f>
        <v>设计助理周念</v>
      </c>
    </row>
    <row r="29">
      <c r="A29" t="str">
        <v>裁片二次工艺完成</v>
      </c>
      <c r="B29" t="str">
        <v>设计助理</v>
      </c>
      <c r="C29" t="str">
        <v>薛惠分</v>
      </c>
      <c r="D29" t="str">
        <f>B29&amp;C29</f>
        <v>设计助理薛惠分</v>
      </c>
    </row>
    <row r="30">
      <c r="A30" t="str">
        <v>车缝完成</v>
      </c>
      <c r="B30" t="str">
        <v>车板师</v>
      </c>
      <c r="C30" t="str">
        <v>曾兰燕</v>
      </c>
      <c r="D30" t="str">
        <f>B30&amp;C30</f>
        <v>车板师曾兰燕</v>
      </c>
    </row>
    <row r="31">
      <c r="A31" t="str">
        <v>车缝完成</v>
      </c>
      <c r="B31" t="str">
        <v>车板师</v>
      </c>
      <c r="C31" t="str">
        <v>贺建华</v>
      </c>
      <c r="D31" t="str">
        <f>B31&amp;C31</f>
        <v>车板师贺建华</v>
      </c>
    </row>
    <row r="32">
      <c r="A32" t="str">
        <v>车缝完成</v>
      </c>
      <c r="B32" t="str">
        <v>车板师</v>
      </c>
      <c r="C32" t="str">
        <v>李晓燕</v>
      </c>
      <c r="D32" t="str">
        <f>B32&amp;C32</f>
        <v>车板师李晓燕</v>
      </c>
    </row>
    <row r="33">
      <c r="A33" t="str">
        <v>车缝完成</v>
      </c>
      <c r="B33" t="str">
        <v>车板师</v>
      </c>
      <c r="C33" t="str">
        <v>李雪梅</v>
      </c>
      <c r="D33" t="str">
        <f>B33&amp;C33</f>
        <v>车板师李雪梅</v>
      </c>
    </row>
    <row r="34">
      <c r="A34" t="str">
        <v>车缝完成</v>
      </c>
      <c r="B34" t="str">
        <v>车板师</v>
      </c>
      <c r="C34" t="str">
        <v>王雷</v>
      </c>
      <c r="D34" t="str">
        <f>B34&amp;C34</f>
        <v>车板师王雷</v>
      </c>
    </row>
    <row r="35">
      <c r="A35" t="str">
        <v>车缝完成</v>
      </c>
      <c r="B35" t="str">
        <v>车板师</v>
      </c>
      <c r="C35" t="str">
        <v>郑得强</v>
      </c>
      <c r="D35" t="str">
        <f>B35&amp;C35</f>
        <v>车板师郑得强</v>
      </c>
    </row>
    <row r="36">
      <c r="A36" t="str">
        <v>审核AB价</v>
      </c>
      <c r="B36" t="str">
        <v>设计主管</v>
      </c>
      <c r="C36" t="str">
        <v>李晓燕</v>
      </c>
      <c r="D36" t="str">
        <f>B36&amp;C36</f>
        <v>设计主管李晓燕</v>
      </c>
    </row>
    <row r="37">
      <c r="A37" t="str">
        <v>内部审版完成</v>
      </c>
      <c r="B37" t="str">
        <v>设计主管</v>
      </c>
      <c r="C37" t="str">
        <v>李晓燕</v>
      </c>
      <c r="D37" t="str">
        <f>B37&amp;C37</f>
        <v>设计主管李晓燕</v>
      </c>
    </row>
    <row r="38">
      <c r="A38" t="str">
        <v>抛用量完成</v>
      </c>
      <c r="B38" t="str">
        <v>放码师</v>
      </c>
      <c r="C38" t="str">
        <v>崔景卿</v>
      </c>
      <c r="D38" t="str">
        <f>B38&amp;C38</f>
        <v>放码师崔景卿</v>
      </c>
    </row>
    <row r="39">
      <c r="A39" t="str">
        <v>复核面辅料 IE核价完成</v>
      </c>
      <c r="B39" t="str">
        <v>IE 核价师</v>
      </c>
      <c r="C39" t="str">
        <v>彭海兵</v>
      </c>
      <c r="D39" t="str">
        <f>B39&amp;C39</f>
        <v>IE 核价师彭海兵</v>
      </c>
    </row>
    <row r="40">
      <c r="A40" t="str">
        <v>复核面辅料 IE核价完成</v>
      </c>
      <c r="B40" t="str">
        <v>IE 核价师</v>
      </c>
      <c r="C40" t="str">
        <v>罗志强</v>
      </c>
      <c r="D40" t="str">
        <f>B40&amp;C40</f>
        <v>IE 核价师罗志强</v>
      </c>
    </row>
    <row r="41">
      <c r="A41" t="str">
        <v>报价BOM完成</v>
      </c>
      <c r="B41" t="str">
        <v>设计师</v>
      </c>
      <c r="C41" t="str">
        <v>彭林丽</v>
      </c>
      <c r="D41" t="str">
        <f>B41&amp;C41</f>
        <v>设计师彭林丽</v>
      </c>
    </row>
    <row r="42">
      <c r="A42" t="str">
        <v>报价BOM完成</v>
      </c>
      <c r="B42" t="str">
        <v>设计师</v>
      </c>
      <c r="C42" t="str">
        <v>薛惠分</v>
      </c>
      <c r="D42" t="str">
        <f>B42&amp;C42</f>
        <v>设计师薛惠分</v>
      </c>
    </row>
    <row r="43">
      <c r="A43" t="str">
        <v>报价BOM完成</v>
      </c>
      <c r="B43" t="str">
        <v>设计师</v>
      </c>
      <c r="C43" t="str">
        <v>梁卫芬</v>
      </c>
      <c r="D43" t="str">
        <f>B43&amp;C43</f>
        <v>设计师梁卫芬</v>
      </c>
    </row>
    <row r="44">
      <c r="A44" t="str">
        <v>客户审版完成</v>
      </c>
      <c r="B44" t="str">
        <v>设计师</v>
      </c>
      <c r="C44" t="str">
        <v>彭林丽</v>
      </c>
      <c r="D44" t="str">
        <f>B44&amp;C44</f>
        <v>设计师彭林丽</v>
      </c>
    </row>
    <row r="45">
      <c r="A45" t="str">
        <v>客户审版完成</v>
      </c>
      <c r="B45" t="str">
        <v>设计师</v>
      </c>
      <c r="C45" t="str">
        <v>薛惠分</v>
      </c>
      <c r="D45" t="str">
        <f>B45&amp;C45</f>
        <v>设计师薛惠分</v>
      </c>
    </row>
    <row r="46">
      <c r="A46" t="str">
        <v>客户审版完成</v>
      </c>
      <c r="B46" t="str">
        <v>设计师</v>
      </c>
      <c r="C46" t="str">
        <v>梁卫芬</v>
      </c>
      <c r="D46" t="str">
        <f>B46&amp;C46</f>
        <v>设计师梁卫芬</v>
      </c>
    </row>
    <row r="47">
      <c r="A47" t="str">
        <v>大麦放码完成</v>
      </c>
      <c r="B47" t="str">
        <v>放码师</v>
      </c>
      <c r="C47" t="str">
        <v>崔景卿</v>
      </c>
      <c r="D47" t="str">
        <f>B47&amp;C47</f>
        <v>放码师崔景卿</v>
      </c>
    </row>
    <row r="48">
      <c r="A48" t="str">
        <v>大麦 BOM 完成</v>
      </c>
      <c r="B48" t="str">
        <v>资料员</v>
      </c>
      <c r="C48" t="str">
        <v>覃小姬</v>
      </c>
      <c r="D48" t="str">
        <f>B48&amp;C48</f>
        <v>资料员覃小姬</v>
      </c>
    </row>
    <row r="49">
      <c r="A49" t="str">
        <v>复核工艺价格 用量实际核价完成</v>
      </c>
      <c r="B49" t="str">
        <v>IE 核价师</v>
      </c>
      <c r="C49" t="str">
        <v>彭海兵</v>
      </c>
      <c r="D49" t="str">
        <f>B49&amp;C49</f>
        <v>IE 核价师彭海兵</v>
      </c>
    </row>
    <row r="50">
      <c r="A50" t="str">
        <v>复核工艺价格 用量实际核价完成</v>
      </c>
      <c r="B50" t="str">
        <v>IE 核价师</v>
      </c>
      <c r="C50" t="str">
        <v>罗志强</v>
      </c>
      <c r="D50" t="str">
        <f>B50&amp;C50</f>
        <v>IE 核价师罗志强</v>
      </c>
    </row>
    <row r="51">
      <c r="A51" t="str">
        <v>交裁片二次工艺完成</v>
      </c>
      <c r="B51" t="str">
        <v>设计助理</v>
      </c>
      <c r="C51" t="str">
        <v>梁卫芬</v>
      </c>
      <c r="D51" t="str">
        <f>B51&amp;C51</f>
        <v>设计助理梁卫芬</v>
      </c>
    </row>
    <row r="52">
      <c r="A52" t="str">
        <v>交裁片二次工艺完成</v>
      </c>
      <c r="B52" t="str">
        <v>设计助理</v>
      </c>
      <c r="C52" t="str">
        <v>彭林丽</v>
      </c>
      <c r="D52" t="str">
        <f>B52&amp;C52</f>
        <v>设计助理彭林丽</v>
      </c>
    </row>
    <row r="53">
      <c r="A53" t="str">
        <v>交裁片二次工艺完成</v>
      </c>
      <c r="B53" t="str">
        <v>设计助理</v>
      </c>
      <c r="C53" t="str">
        <v>周念</v>
      </c>
      <c r="D53" t="str">
        <f>B53&amp;C53</f>
        <v>设计助理周念</v>
      </c>
    </row>
    <row r="54">
      <c r="A54" t="str">
        <v>交裁片二次工艺完成</v>
      </c>
      <c r="B54" t="str">
        <v>设计助理</v>
      </c>
      <c r="C54" t="str">
        <v>薛惠分</v>
      </c>
      <c r="D54" t="str">
        <f>B54&amp;C54</f>
        <v>设计助理薛惠分</v>
      </c>
    </row>
    <row r="55">
      <c r="A55" t="str">
        <v>交裁剪</v>
      </c>
      <c r="B55" t="str">
        <v>设计助理</v>
      </c>
      <c r="C55" t="str">
        <v>梁卫芬</v>
      </c>
      <c r="D55" t="str">
        <f>B55&amp;C55</f>
        <v>设计助理梁卫芬</v>
      </c>
    </row>
    <row r="56">
      <c r="A56" t="str">
        <v>交裁剪</v>
      </c>
      <c r="B56" t="str">
        <v>设计助理</v>
      </c>
      <c r="C56" t="str">
        <v>彭林丽</v>
      </c>
      <c r="D56" t="str">
        <f>B56&amp;C56</f>
        <v>设计助理彭林丽</v>
      </c>
    </row>
    <row r="57">
      <c r="A57" t="str">
        <v>交裁剪</v>
      </c>
      <c r="B57" t="str">
        <v>设计助理</v>
      </c>
      <c r="C57" t="str">
        <v>周念</v>
      </c>
      <c r="D57" t="str">
        <f>B57&amp;C57</f>
        <v>设计助理周念</v>
      </c>
    </row>
    <row r="58">
      <c r="A58" t="str">
        <v>交裁剪</v>
      </c>
      <c r="B58" t="str">
        <v>设计助理</v>
      </c>
      <c r="C58" t="str">
        <v>薛惠分</v>
      </c>
      <c r="D58" t="str">
        <f>B58&amp;C58</f>
        <v>设计助理薛惠分</v>
      </c>
    </row>
    <row r="59">
      <c r="A59" t="str">
        <v>裁片二次工艺完成</v>
      </c>
      <c r="B59" t="str">
        <v>设计助理</v>
      </c>
      <c r="C59" t="str">
        <v>梁卫芬</v>
      </c>
      <c r="D59" t="str">
        <f>B59&amp;C59</f>
        <v>设计助理梁卫芬</v>
      </c>
    </row>
    <row r="60">
      <c r="A60" t="str">
        <v>裁片二次工艺完成</v>
      </c>
      <c r="B60" t="str">
        <v>设计助理</v>
      </c>
      <c r="C60" t="str">
        <v>彭林丽</v>
      </c>
      <c r="D60" t="str">
        <f>B60&amp;C60</f>
        <v>设计助理彭林丽</v>
      </c>
    </row>
    <row r="61">
      <c r="A61" t="str">
        <v>裁片二次工艺完成</v>
      </c>
      <c r="B61" t="str">
        <v>设计助理</v>
      </c>
      <c r="C61" t="str">
        <v>周念</v>
      </c>
      <c r="D61" t="str">
        <f>B61&amp;C61</f>
        <v>设计助理周念</v>
      </c>
    </row>
    <row r="62">
      <c r="A62" t="str">
        <v>裁片二次工艺完成</v>
      </c>
      <c r="B62" t="str">
        <v>设计助理</v>
      </c>
      <c r="C62" t="str">
        <v>薛惠分</v>
      </c>
      <c r="D62" t="str">
        <f>B62&amp;C62</f>
        <v>设计助理薛惠分</v>
      </c>
    </row>
    <row r="63">
      <c r="A63" t="str">
        <v>大麦BOM完成</v>
      </c>
      <c r="B63" t="str">
        <v>资料组</v>
      </c>
      <c r="C63" t="str">
        <v>覃小姬</v>
      </c>
      <c r="D63" t="str">
        <f>B63&amp;C63</f>
        <v>资料组覃小姬</v>
      </c>
    </row>
    <row r="64">
      <c r="A64" t="str">
        <v>移交物料卡</v>
      </c>
      <c r="B64" t="str">
        <v>资料组</v>
      </c>
      <c r="C64" t="str">
        <v>覃小姬</v>
      </c>
      <c r="D64" t="str">
        <f>B64&amp;C64</f>
        <v>资料组覃小姬</v>
      </c>
    </row>
    <row r="65">
      <c r="A65" t="str">
        <v>实际用量完成</v>
      </c>
      <c r="B65" t="str">
        <v>放码师</v>
      </c>
      <c r="C65" t="str">
        <v>崔景卿</v>
      </c>
      <c r="D65" t="str">
        <f>B65&amp;C65</f>
        <v>放码师崔景卿</v>
      </c>
    </row>
    <row r="66">
      <c r="A66" t="str">
        <v>抛用量完成</v>
      </c>
      <c r="B66" t="str">
        <v>放码师</v>
      </c>
      <c r="C66" t="str">
        <v>房毅</v>
      </c>
      <c r="D66" t="str">
        <f>B66&amp;C66</f>
        <v>放码师房毅</v>
      </c>
    </row>
    <row r="67">
      <c r="A67" t="str">
        <v>车缝完成</v>
      </c>
      <c r="B67" t="str">
        <v>车板师</v>
      </c>
      <c r="C67" t="str">
        <v>王海</v>
      </c>
      <c r="D67" t="str">
        <f>B67&amp;C67</f>
        <v>车板师王海</v>
      </c>
    </row>
    <row r="68">
      <c r="A68" t="str">
        <v>大货下单</v>
      </c>
      <c r="B68" t="str">
        <v>大货跟单</v>
      </c>
      <c r="C68" t="str">
        <v>赵娇</v>
      </c>
      <c r="D68" t="str">
        <f>B68&amp;C68</f>
        <v>大货跟单赵娇</v>
      </c>
    </row>
    <row r="69">
      <c r="A69" t="str">
        <v>大货下单</v>
      </c>
      <c r="B69" t="str">
        <v>大货跟单</v>
      </c>
      <c r="C69" t="str">
        <v>欧阳颖冰</v>
      </c>
      <c r="D69" t="str">
        <f>B69&amp;C69</f>
        <v>大货跟单欧阳颖冰</v>
      </c>
    </row>
    <row r="70">
      <c r="A70" t="str">
        <v>确定图稿建立打样单</v>
      </c>
      <c r="B70" t="str">
        <v>设计师</v>
      </c>
      <c r="C70" t="str">
        <v>周念</v>
      </c>
      <c r="D70" t="str">
        <f>B70&amp;C70</f>
        <v>设计师周念</v>
      </c>
    </row>
  </sheetData>
  <pageMargins left="0.75" right="0.75" top="1" bottom="1" header="0.5" footer="0.5"/>
  <ignoredErrors>
    <ignoredError numberStoredAsText="1" sqref="A1:D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6"/>
  <sheetViews>
    <sheetView workbookViewId="0" rightToLeft="0"/>
  </sheetViews>
  <sheetData>
    <row r="1">
      <c r="A1" t="str">
        <v>模板</v>
      </c>
      <c r="B1" t="str">
        <v>开发版（头版、二版、三版）</v>
      </c>
      <c r="C1" t="str">
        <v>要求时间（天）</v>
      </c>
    </row>
    <row r="2">
      <c r="A2" t="str">
        <v>开发样进度模板（头版、二版、三版）</v>
      </c>
      <c r="B2" t="str">
        <v>确定图稿建立打样单-设计师</v>
      </c>
      <c r="C2">
        <v>0.04</v>
      </c>
    </row>
    <row r="3">
      <c r="A3" t="str">
        <v>开发样进度模板（头版、二版、三版）</v>
      </c>
      <c r="B3" t="str">
        <v>纸样完成-纸样师</v>
      </c>
      <c r="C3">
        <v>0.13</v>
      </c>
    </row>
    <row r="4">
      <c r="A4" t="str">
        <v>开发样进度模板（头版、二版、三版）</v>
      </c>
      <c r="B4" t="str">
        <v>面料到位 辅料到位-设计助理</v>
      </c>
      <c r="C4">
        <v>1.71</v>
      </c>
    </row>
    <row r="5">
      <c r="A5" t="str">
        <v>开发样进度模板（头版、二版、三版）</v>
      </c>
      <c r="B5" t="str">
        <v>面料二次工艺完成 辅料二次工艺完成-设计师</v>
      </c>
      <c r="C5">
        <v>2</v>
      </c>
    </row>
    <row r="6">
      <c r="A6" t="str">
        <v>开发样进度模板（头版、二版、三版）</v>
      </c>
      <c r="B6" t="str">
        <v>交裁剪-设计助理</v>
      </c>
      <c r="C6">
        <v>0.04</v>
      </c>
    </row>
    <row r="7">
      <c r="A7" t="str">
        <v>开发样进度模板（头版、二版、三版）</v>
      </c>
      <c r="B7" t="str">
        <v>裁剪完成-裁版师</v>
      </c>
      <c r="C7">
        <v>0.04</v>
      </c>
    </row>
    <row r="8">
      <c r="A8" t="str">
        <v>开发样进度模板（头版、二版、三版）</v>
      </c>
      <c r="B8" t="str">
        <v>裁片二次工艺完成交车缝-设计助理</v>
      </c>
      <c r="C8">
        <v>1.5</v>
      </c>
    </row>
    <row r="9">
      <c r="A9" t="str">
        <v>开发样进度模板（头版、二版、三版）</v>
      </c>
      <c r="B9" t="str">
        <v>车缝完成-车板师</v>
      </c>
      <c r="C9">
        <v>0.13</v>
      </c>
    </row>
    <row r="10">
      <c r="A10" t="str">
        <v>开发样进度模板（头版、二版、三版）</v>
      </c>
      <c r="B10" t="str">
        <v>内部审版完成-设计师</v>
      </c>
      <c r="C10">
        <v>0.5</v>
      </c>
    </row>
    <row r="11">
      <c r="A11" t="str">
        <v>开发样进度模板（头版、二版、三版）</v>
      </c>
      <c r="B11" t="str">
        <v>移交算抛用量-设计助理</v>
      </c>
      <c r="C11">
        <v>0.08</v>
      </c>
    </row>
    <row r="12">
      <c r="A12" t="str">
        <v>开发样进度模板（头版、二版、三版）</v>
      </c>
      <c r="B12" t="str">
        <v>抛用量完成-纸样师</v>
      </c>
      <c r="C12">
        <v>0.04</v>
      </c>
    </row>
    <row r="13">
      <c r="A13" t="str">
        <v>开发样进度模板（头版、二版、三版）</v>
      </c>
      <c r="B13" t="str">
        <v>移交IE核价-设计助理</v>
      </c>
      <c r="C13">
        <v>0.04</v>
      </c>
    </row>
    <row r="14">
      <c r="A14" t="str">
        <v>开发样进度模板（头版、二版、三版）</v>
      </c>
      <c r="B14" t="str">
        <v>完成工序核价-IE核价师</v>
      </c>
      <c r="C14">
        <v>0.04</v>
      </c>
    </row>
    <row r="15">
      <c r="A15" t="str">
        <v>开发样进度模板（头版、二版、三版）</v>
      </c>
      <c r="B15" t="str">
        <v>客户审版完成-设计师</v>
      </c>
      <c r="C15">
        <v>0.5</v>
      </c>
    </row>
    <row r="16">
      <c r="A16" t="str">
        <v>开发样进度模板（头版、二版、三版）</v>
      </c>
      <c r="B16" t="str">
        <v>移交放码-设计助理</v>
      </c>
      <c r="C16">
        <v>0.04</v>
      </c>
    </row>
    <row r="17">
      <c r="A17" t="str">
        <v>开发样进度模板（头版、二版、三版）</v>
      </c>
      <c r="B17" t="str">
        <v>放码完成-放码师</v>
      </c>
      <c r="C17">
        <v>0.04</v>
      </c>
    </row>
    <row r="18">
      <c r="A18" t="str">
        <v>开发样进度模板（头版、二版、三版）</v>
      </c>
      <c r="B18" t="str">
        <v>移交IE复核及核价-设计助理</v>
      </c>
      <c r="C18">
        <v>0.04</v>
      </c>
    </row>
    <row r="19">
      <c r="A19" t="str">
        <v>开发样进度模板（头版、二版、三版）</v>
      </c>
      <c r="B19" t="str">
        <v>复核面辅料 IE核价完成-IE核价师</v>
      </c>
      <c r="C19">
        <v>0.08</v>
      </c>
    </row>
    <row r="21">
      <c r="C21" t="str">
        <v>要求时间（天）</v>
      </c>
    </row>
    <row r="22">
      <c r="A22" t="str">
        <v>产前样进度模板</v>
      </c>
      <c r="B22" t="str">
        <v>确定图稿建立打样单-设计师</v>
      </c>
      <c r="C22">
        <v>0.04</v>
      </c>
    </row>
    <row r="23">
      <c r="A23" t="str">
        <v>产前样进度模板</v>
      </c>
      <c r="B23" t="str">
        <v>纸样完成-纸样师</v>
      </c>
      <c r="C23">
        <v>0.08</v>
      </c>
    </row>
    <row r="24">
      <c r="A24" t="str">
        <v>产前样进度模板</v>
      </c>
      <c r="B24" t="str">
        <v>面料到位 辅料到位-设计助理</v>
      </c>
      <c r="C24">
        <v>1.71</v>
      </c>
    </row>
    <row r="25">
      <c r="A25" t="str">
        <v>产前样进度模板</v>
      </c>
      <c r="B25" t="str">
        <v>面料二次工艺完成 辅料二次工艺完成-设计师</v>
      </c>
      <c r="C25">
        <v>2</v>
      </c>
    </row>
    <row r="26">
      <c r="A26" t="str">
        <v>产前样进度模板</v>
      </c>
      <c r="B26" t="str">
        <v>交裁剪-设计助理</v>
      </c>
      <c r="C26">
        <v>0.04</v>
      </c>
    </row>
    <row r="27">
      <c r="A27" t="str">
        <v>产前样进度模板</v>
      </c>
      <c r="B27" t="str">
        <v>裁剪完成-裁版师</v>
      </c>
      <c r="C27">
        <v>0.04</v>
      </c>
    </row>
    <row r="28">
      <c r="A28" t="str">
        <v>产前样进度模板</v>
      </c>
      <c r="B28" t="str">
        <v>裁片二次工艺完成交车缝-设计助理</v>
      </c>
      <c r="C28">
        <v>1.5</v>
      </c>
    </row>
    <row r="29">
      <c r="A29" t="str">
        <v>产前样进度模板</v>
      </c>
      <c r="B29" t="str">
        <v>车缝完成-车板师</v>
      </c>
      <c r="C29">
        <v>0.13</v>
      </c>
    </row>
    <row r="30">
      <c r="A30" t="str">
        <v>产前样进度模板</v>
      </c>
      <c r="B30" t="str">
        <v>移交IE核对-设计助理</v>
      </c>
      <c r="C30">
        <v>0.04</v>
      </c>
    </row>
    <row r="31">
      <c r="A31" t="str">
        <v>产前样进度模板</v>
      </c>
      <c r="B31" t="str">
        <v>核对系统拍照细节-IE核价师</v>
      </c>
      <c r="C31">
        <v>0.25</v>
      </c>
    </row>
    <row r="32">
      <c r="A32" t="str">
        <v>产前样进度模板</v>
      </c>
      <c r="B32" t="str">
        <v>移交物料卡-设计助理</v>
      </c>
      <c r="C32">
        <v>0.04</v>
      </c>
    </row>
    <row r="33">
      <c r="A33" t="str">
        <v>产前样进度模板</v>
      </c>
      <c r="B33" t="str">
        <v>移交产前样-设计助理</v>
      </c>
      <c r="C33">
        <v>0.04</v>
      </c>
    </row>
    <row r="34">
      <c r="A34" t="str">
        <v>产前样进度模板</v>
      </c>
      <c r="B34" t="str">
        <v>跟单确认-跟单员</v>
      </c>
      <c r="C34">
        <v>0.04</v>
      </c>
    </row>
    <row r="37">
      <c r="C37" t="str">
        <v>要求时间（天）</v>
      </c>
    </row>
    <row r="38">
      <c r="A38" t="str">
        <v>拍照样进度模板</v>
      </c>
      <c r="B38" t="str">
        <v>确定图稿建立打样单-设计师</v>
      </c>
      <c r="C38">
        <v>0.04</v>
      </c>
    </row>
    <row r="39">
      <c r="A39" t="str">
        <v>拍照样进度模板</v>
      </c>
      <c r="B39" t="str">
        <v>纸样完成-纸样师</v>
      </c>
      <c r="C39">
        <v>0.08</v>
      </c>
    </row>
    <row r="40">
      <c r="A40" t="str">
        <v>拍照样进度模板</v>
      </c>
      <c r="B40" t="str">
        <v>面料到位 辅料到位-设计助理</v>
      </c>
      <c r="C40">
        <v>1.71</v>
      </c>
    </row>
    <row r="41">
      <c r="A41" t="str">
        <v>拍照样进度模板</v>
      </c>
      <c r="B41" t="str">
        <v>移交物料卡-设计助理</v>
      </c>
      <c r="C41">
        <v>0.04</v>
      </c>
    </row>
    <row r="42">
      <c r="A42" t="str">
        <v>拍照样进度模板</v>
      </c>
      <c r="B42" t="str">
        <v>跟单确认-跟单员</v>
      </c>
      <c r="C42">
        <v>0.04</v>
      </c>
    </row>
    <row r="43">
      <c r="A43" t="str">
        <v>拍照样进度模板</v>
      </c>
      <c r="B43" t="str">
        <v>面料二次工艺完成 辅料二次工艺完成-设计师</v>
      </c>
      <c r="C43">
        <v>2</v>
      </c>
    </row>
    <row r="44">
      <c r="A44" t="str">
        <v>拍照样进度模板</v>
      </c>
      <c r="B44" t="str">
        <v>交裁剪-设计助理</v>
      </c>
      <c r="C44">
        <v>0.04</v>
      </c>
    </row>
    <row r="45">
      <c r="A45" t="str">
        <v>拍照样进度模板</v>
      </c>
      <c r="B45" t="str">
        <v>裁剪完成-裁版师</v>
      </c>
      <c r="C45">
        <v>0.04</v>
      </c>
    </row>
    <row r="46">
      <c r="A46" t="str">
        <v>拍照样进度模板</v>
      </c>
      <c r="B46" t="str">
        <v>裁片二次工艺完成交 车缝-设计助理</v>
      </c>
      <c r="C46">
        <v>1.5</v>
      </c>
    </row>
    <row r="47">
      <c r="A47" t="str">
        <v>拍照样进度模板</v>
      </c>
      <c r="B47" t="str">
        <v>车缝完成-车板师</v>
      </c>
      <c r="C47">
        <v>0.13</v>
      </c>
    </row>
    <row r="48">
      <c r="A48" t="str">
        <v>拍照样进度模板</v>
      </c>
      <c r="B48" t="str">
        <v>内部核对完成-设计师</v>
      </c>
      <c r="C48">
        <v>0.25</v>
      </c>
    </row>
    <row r="51">
      <c r="A51" t="str">
        <v>资料异常进度模板</v>
      </c>
      <c r="B51" t="str">
        <v>发起资料异常打样单-发起人</v>
      </c>
      <c r="C51">
        <v>0.04</v>
      </c>
    </row>
    <row r="52">
      <c r="A52" t="str">
        <v>资料异常进度模板</v>
      </c>
      <c r="B52" t="str">
        <v>复核纸样-纸样师</v>
      </c>
      <c r="C52">
        <v>0.2</v>
      </c>
    </row>
    <row r="53">
      <c r="A53" t="str">
        <v>资料异常进度模板</v>
      </c>
      <c r="B53" t="str">
        <v>复核用量-放码师</v>
      </c>
      <c r="C53">
        <v>0.2</v>
      </c>
    </row>
    <row r="54">
      <c r="A54" t="str">
        <v>资料异常进度模板</v>
      </c>
      <c r="B54" t="str">
        <v>复核资料bom-设计助理</v>
      </c>
      <c r="C54">
        <v>0.2</v>
      </c>
    </row>
    <row r="55">
      <c r="A55" t="str">
        <v>资料异常进度模板</v>
      </c>
      <c r="B55" t="str">
        <v>复核工艺、工序-IE核价师</v>
      </c>
      <c r="C55">
        <v>0.2</v>
      </c>
    </row>
    <row r="56">
      <c r="A56" t="str">
        <v>资料异常进度模板</v>
      </c>
      <c r="B56" t="str">
        <v>确认资料包-IE核价师</v>
      </c>
      <c r="C56">
        <v>0.2</v>
      </c>
    </row>
    <row r="57">
      <c r="A57" t="str">
        <v>资料异常进度模板</v>
      </c>
      <c r="B57" t="str">
        <v>发起人确认完结-发起人</v>
      </c>
      <c r="C57">
        <v>0.2</v>
      </c>
    </row>
    <row r="60">
      <c r="A60" t="str">
        <v>有样衣大货接单进度模板</v>
      </c>
      <c r="B60" t="str">
        <v>生产大货接单-跟单员</v>
      </c>
      <c r="C60">
        <v>0.04</v>
      </c>
    </row>
    <row r="61">
      <c r="A61" t="str">
        <v>有样衣大货接单进度模板</v>
      </c>
      <c r="B61" t="str">
        <v>借样衣-跟单员</v>
      </c>
      <c r="C61">
        <v>2</v>
      </c>
    </row>
    <row r="62">
      <c r="A62" t="str">
        <v>有样衣大货接单进度模板</v>
      </c>
      <c r="B62" t="str">
        <v>发起任务-跟单员</v>
      </c>
      <c r="C62">
        <v>0.04</v>
      </c>
    </row>
    <row r="63">
      <c r="A63" t="str">
        <v>有样衣大货接单进度模板</v>
      </c>
      <c r="B63" t="str">
        <v>转大货打样单-设计师</v>
      </c>
      <c r="C63">
        <v>0.1</v>
      </c>
    </row>
    <row r="64">
      <c r="A64" t="str">
        <v>有样衣大货接单进度模板</v>
      </c>
      <c r="B64" t="str">
        <v>发起二次工艺询价-设计师</v>
      </c>
      <c r="C64">
        <v>0.1</v>
      </c>
    </row>
    <row r="65">
      <c r="A65" t="str">
        <v>有样衣大货接单进度模板</v>
      </c>
      <c r="B65" t="str">
        <v>更新资料-设计助理</v>
      </c>
      <c r="C65">
        <v>0.1</v>
      </c>
    </row>
    <row r="66">
      <c r="A66" t="str">
        <v>有样衣大货接单进度模板</v>
      </c>
      <c r="B66" t="str">
        <v>核对纸样-纸样师</v>
      </c>
      <c r="C66">
        <v>0.1</v>
      </c>
    </row>
    <row r="67">
      <c r="A67" t="str">
        <v>有样衣大货接单进度模板</v>
      </c>
      <c r="B67" t="str">
        <v>核对用量-放码师</v>
      </c>
      <c r="C67">
        <v>0.1</v>
      </c>
    </row>
    <row r="68">
      <c r="A68" t="str">
        <v>有样衣大货接单进度模板</v>
      </c>
      <c r="B68" t="str">
        <v>核算工艺工序、核算二次工艺-IE核价师</v>
      </c>
      <c r="C68">
        <v>0.1</v>
      </c>
    </row>
    <row r="69">
      <c r="A69" t="str">
        <v>有样衣大货接单进度模板</v>
      </c>
      <c r="B69" t="str">
        <v>核算成本-设计主管</v>
      </c>
      <c r="C69">
        <v>0.04</v>
      </c>
    </row>
    <row r="70">
      <c r="A70" t="str">
        <v>有样衣大货接单进度模板</v>
      </c>
      <c r="B70" t="str">
        <v>退回样衣-设计助理</v>
      </c>
      <c r="C70">
        <v>0.04</v>
      </c>
    </row>
    <row r="71">
      <c r="A71" t="str">
        <v>有样衣大货接单进度模板</v>
      </c>
      <c r="B71" t="str">
        <v>接收样衣-跟单</v>
      </c>
      <c r="C71">
        <v>0.04</v>
      </c>
    </row>
    <row r="74">
      <c r="A74" t="str">
        <v>样衣修改模板</v>
      </c>
      <c r="B74" t="str">
        <v>确定建立修改样单-设计师</v>
      </c>
      <c r="C74">
        <v>1</v>
      </c>
    </row>
    <row r="75">
      <c r="A75" t="str">
        <v>样衣修改模板</v>
      </c>
      <c r="B75" t="str">
        <v>纸样完成-纸样师</v>
      </c>
      <c r="C75">
        <v>1</v>
      </c>
    </row>
    <row r="76">
      <c r="A76" t="str">
        <v>样衣修改模板</v>
      </c>
      <c r="B76" t="str">
        <v>车版完成-车板师</v>
      </c>
      <c r="C76">
        <v>1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节点耗时</vt:lpstr>
      <vt:lpstr>Sheet2</vt:lpstr>
      <vt:lpstr>耗时</vt:lpstr>
      <vt:lpstr>节点操作人</vt:lpstr>
      <vt:lpstr>要求耗时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2025-07-24T06:13:00Z</dcterms:created>
  <dcterms:modified xsi:type="dcterms:W3CDTF">2025-10-10T02:39:34Z</dcterms:modified>
  <cp:lastModifiedBy>knight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8D16C22DAC7E44EFA4010A87D08C23D5_11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